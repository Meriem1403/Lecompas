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T SUBV PAR AGENT" sheetId="1" state="visible" r:id="rId3"/>
    <sheet name="TABLEAU SUIVI CONVENTIONS " sheetId="2" state="visible" r:id="rId4"/>
    <sheet name="TABLEAU POINT HARMONISATION " sheetId="3" state="visible" r:id="rId5"/>
    <sheet name="MONTANTS MODIF 4T 2024 SEPT DEC" sheetId="4" state="visible" r:id="rId6"/>
    <sheet name="FICHIER INITIAL ALC" sheetId="5" state="visible" r:id="rId7"/>
    <sheet name="MONTANTS DES SUBVENTIONS 2025" sheetId="6" state="visible" r:id="rId8"/>
    <sheet name="PREVISION RESTAURATION 2025" sheetId="7" state="visible" r:id="rId9"/>
  </sheets>
  <definedNames>
    <definedName function="false" hidden="true" localSheetId="4" name="_xlnm._FilterDatabase" vbProcedure="false">'FICHIER INITIAL ALC'!$A$1:$L$211</definedName>
    <definedName function="false" hidden="true" localSheetId="3" name="_xlnm._FilterDatabase" vbProcedure="false">'MONTANTS MODIF 4T 2024 SEPT DEC'!$A$1:$K$54</definedName>
    <definedName function="false" hidden="true" localSheetId="0" name="_xlnm._FilterDatabase" vbProcedure="false">'MT SUBV PAR AGENT'!$A$1:$K$79</definedName>
    <definedName function="false" hidden="false" localSheetId="1" name="blocAssociationOcc" vbProcedure="false">'TABLEAU SUIVI CONVENTIONS '!$D$7</definedName>
    <definedName function="false" hidden="false" localSheetId="2" name="blocAssociationOcc" vbProcedure="false">'TABLEAU POINT HARMONISATION '!$D$7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<sst xmlns="http://schemas.openxmlformats.org/spreadsheetml/2006/main" count="2210" uniqueCount="703">
  <si>
    <t xml:space="preserve">Service</t>
  </si>
  <si>
    <t xml:space="preserve">Affectation</t>
  </si>
  <si>
    <t xml:space="preserve">Département</t>
  </si>
  <si>
    <t xml:space="preserve">Nom</t>
  </si>
  <si>
    <t xml:space="preserve">Prénom</t>
  </si>
  <si>
    <t xml:space="preserve">Poste</t>
  </si>
  <si>
    <t xml:space="preserve">Subvention interministérielle</t>
  </si>
  <si>
    <t xml:space="preserve">Subvention ministérielle</t>
  </si>
  <si>
    <t xml:space="preserve">Indice nouveau majoré (INM) &lt; OU= 539
</t>
  </si>
  <si>
    <t xml:space="preserve">Indice nouveau majoré (INM) &gt; 539
</t>
  </si>
  <si>
    <t xml:space="preserve">Montant total subventionné</t>
  </si>
  <si>
    <t xml:space="preserve">SPBM</t>
  </si>
  <si>
    <t xml:space="preserve">SPBM BAT</t>
  </si>
  <si>
    <t xml:space="preserve">AUGUSTE</t>
  </si>
  <si>
    <t xml:space="preserve">Cyril</t>
  </si>
  <si>
    <t xml:space="preserve">Chargé d'opération construction - phares et balises Méditerr</t>
  </si>
  <si>
    <t xml:space="preserve">X</t>
  </si>
  <si>
    <t xml:space="preserve">COB BASTIA</t>
  </si>
  <si>
    <t xml:space="preserve">2B</t>
  </si>
  <si>
    <t xml:space="preserve">BARBAGGIO</t>
  </si>
  <si>
    <t xml:space="preserve">Georges</t>
  </si>
  <si>
    <t xml:space="preserve">Chargé de maintenance des ESM, DIRM</t>
  </si>
  <si>
    <t xml:space="preserve">SSGM</t>
  </si>
  <si>
    <t xml:space="preserve">SSGM BASTIA</t>
  </si>
  <si>
    <t xml:space="preserve">BATTESTI</t>
  </si>
  <si>
    <t xml:space="preserve">Jean-Louis</t>
  </si>
  <si>
    <t xml:space="preserve">Infirmier en soins généraux</t>
  </si>
  <si>
    <t xml:space="preserve">COB Marseille</t>
  </si>
  <si>
    <t xml:space="preserve">BESSI</t>
  </si>
  <si>
    <t xml:space="preserve">Franck</t>
  </si>
  <si>
    <t xml:space="preserve">Agent de maintenance - service des phares et balises</t>
  </si>
  <si>
    <t xml:space="preserve">COB BONIFACIO</t>
  </si>
  <si>
    <t xml:space="preserve">2A</t>
  </si>
  <si>
    <t xml:space="preserve">BINELLO</t>
  </si>
  <si>
    <t xml:space="preserve">Christophe</t>
  </si>
  <si>
    <t xml:space="preserve">Technicien CEI</t>
  </si>
  <si>
    <t xml:space="preserve">BUREL</t>
  </si>
  <si>
    <t xml:space="preserve">Alexandre</t>
  </si>
  <si>
    <t xml:space="preserve">Ouvrier</t>
  </si>
  <si>
    <t xml:space="preserve">CROSS MED</t>
  </si>
  <si>
    <t xml:space="preserve">CROSS MED LA GARDE</t>
  </si>
  <si>
    <t xml:space="preserve">CAMEL</t>
  </si>
  <si>
    <t xml:space="preserve">Sébastien</t>
  </si>
  <si>
    <t xml:space="preserve">Technicien de maintenance des systèmes de communication</t>
  </si>
  <si>
    <t xml:space="preserve">CASANOVA</t>
  </si>
  <si>
    <t xml:space="preserve">Matieu</t>
  </si>
  <si>
    <t xml:space="preserve">Chargé d'opération construction phares et balises</t>
  </si>
  <si>
    <t xml:space="preserve">CASTELNOVO</t>
  </si>
  <si>
    <t xml:space="preserve">Camille</t>
  </si>
  <si>
    <t xml:space="preserve">chaudronnier</t>
  </si>
  <si>
    <t xml:space="preserve">CSN PC</t>
  </si>
  <si>
    <t xml:space="preserve">CSN PC AJACCIO</t>
  </si>
  <si>
    <t xml:space="preserve">NOCERA JEGOU  </t>
  </si>
  <si>
    <t xml:space="preserve">Marie  </t>
  </si>
  <si>
    <t xml:space="preserve">Inspecteur.rice sécurité des navires - responsable d'antenne</t>
  </si>
  <si>
    <t xml:space="preserve">CSN PC MARTIGUES</t>
  </si>
  <si>
    <t xml:space="preserve">CHERPION</t>
  </si>
  <si>
    <t xml:space="preserve">William</t>
  </si>
  <si>
    <t xml:space="preserve">Agent de service</t>
  </si>
  <si>
    <t xml:space="preserve">SAE</t>
  </si>
  <si>
    <t xml:space="preserve">SAE SETE</t>
  </si>
  <si>
    <t xml:space="preserve">COLOMB</t>
  </si>
  <si>
    <t xml:space="preserve">Sylvain</t>
  </si>
  <si>
    <t xml:space="preserve">gestionnaire des affaires économiques</t>
  </si>
  <si>
    <t xml:space="preserve">COULON</t>
  </si>
  <si>
    <t xml:space="preserve">David</t>
  </si>
  <si>
    <t xml:space="preserve">Adjoint chef du COB de Marseille</t>
  </si>
  <si>
    <t xml:space="preserve">CSN LR</t>
  </si>
  <si>
    <t xml:space="preserve">CUENOT</t>
  </si>
  <si>
    <t xml:space="preserve">Rene-Paul</t>
  </si>
  <si>
    <t xml:space="preserve">Inspecteur de sécurité des navires</t>
  </si>
  <si>
    <t xml:space="preserve">COB SETE</t>
  </si>
  <si>
    <t xml:space="preserve">CWICK</t>
  </si>
  <si>
    <t xml:space="preserve">Sebastien</t>
  </si>
  <si>
    <t xml:space="preserve">Electricien au COB de Sète</t>
  </si>
  <si>
    <t xml:space="preserve">DE ANNA</t>
  </si>
  <si>
    <t xml:space="preserve">Béatrice</t>
  </si>
  <si>
    <t xml:space="preserve">secrétaire</t>
  </si>
  <si>
    <t xml:space="preserve">DE MAISTRE</t>
  </si>
  <si>
    <t xml:space="preserve">Xavier</t>
  </si>
  <si>
    <t xml:space="preserve">adjoint du CSN Languedoc Roussillon</t>
  </si>
  <si>
    <t xml:space="preserve">DESFORGES BISKUPSKI</t>
  </si>
  <si>
    <t xml:space="preserve">Jean-Luc</t>
  </si>
  <si>
    <t xml:space="preserve">Chef du service affaires économiques</t>
  </si>
  <si>
    <t xml:space="preserve">DEVAUX</t>
  </si>
  <si>
    <t xml:space="preserve">Guillaume</t>
  </si>
  <si>
    <t xml:space="preserve">agent d'exploitation</t>
  </si>
  <si>
    <t xml:space="preserve">DEVIQUE</t>
  </si>
  <si>
    <t xml:space="preserve">Gabriel</t>
  </si>
  <si>
    <t xml:space="preserve">DIAZ</t>
  </si>
  <si>
    <t xml:space="preserve">Solange</t>
  </si>
  <si>
    <t xml:space="preserve">CROSS MED AJACCIO</t>
  </si>
  <si>
    <t xml:space="preserve">DUFAY</t>
  </si>
  <si>
    <t xml:space="preserve">Clara</t>
  </si>
  <si>
    <t xml:space="preserve">officier de permanence-coordinateur mission de sauvetage</t>
  </si>
  <si>
    <t xml:space="preserve">CSN LR/COB SETE</t>
  </si>
  <si>
    <t xml:space="preserve">DUPREZ</t>
  </si>
  <si>
    <t xml:space="preserve">Raphaël</t>
  </si>
  <si>
    <t xml:space="preserve">ETIENNE</t>
  </si>
  <si>
    <t xml:space="preserve">Hélène</t>
  </si>
  <si>
    <t xml:space="preserve">FEKKAR</t>
  </si>
  <si>
    <t xml:space="preserve">adjoint au chef du CSN PACA Corse</t>
  </si>
  <si>
    <t xml:space="preserve">FERNANDEZ</t>
  </si>
  <si>
    <t xml:space="preserve">Michel</t>
  </si>
  <si>
    <t xml:space="preserve">Chef du bureau pilotage et support technique</t>
  </si>
  <si>
    <t xml:space="preserve">COB Ajaccio</t>
  </si>
  <si>
    <t xml:space="preserve">FONSA</t>
  </si>
  <si>
    <t xml:space="preserve">Frederic</t>
  </si>
  <si>
    <t xml:space="preserve">Electricien</t>
  </si>
  <si>
    <t xml:space="preserve">FOURNEAUX</t>
  </si>
  <si>
    <t xml:space="preserve">Claire</t>
  </si>
  <si>
    <t xml:space="preserve">FOYEN-FOUBERT</t>
  </si>
  <si>
    <t xml:space="preserve">Stephanie</t>
  </si>
  <si>
    <t xml:space="preserve">gestionnairedes affaires économiques</t>
  </si>
  <si>
    <t xml:space="preserve">FRADIN</t>
  </si>
  <si>
    <t xml:space="preserve">Cédric</t>
  </si>
  <si>
    <t xml:space="preserve">Inspecteur sécurité des navires</t>
  </si>
  <si>
    <t xml:space="preserve">FRANCESCHI</t>
  </si>
  <si>
    <t xml:space="preserve">Laurent</t>
  </si>
  <si>
    <t xml:space="preserve">Chargé d'études Techniques : Gestion des mouillages</t>
  </si>
  <si>
    <t xml:space="preserve">FROLI</t>
  </si>
  <si>
    <t xml:space="preserve">Antony</t>
  </si>
  <si>
    <t xml:space="preserve">Ouvrier Chargé de maintenance des ESM ? DIRM</t>
  </si>
  <si>
    <t xml:space="preserve">GALLESI</t>
  </si>
  <si>
    <t xml:space="preserve">BRUNO</t>
  </si>
  <si>
    <t xml:space="preserve">Agent polyvalent.e -maintenance aide à la navigation</t>
  </si>
  <si>
    <t xml:space="preserve">SEF</t>
  </si>
  <si>
    <t xml:space="preserve">GOGEON</t>
  </si>
  <si>
    <t xml:space="preserve">Bruno</t>
  </si>
  <si>
    <t xml:space="preserve">assistant du délégué du DIRM en Corse</t>
  </si>
  <si>
    <t xml:space="preserve">CSN PC BASTIA</t>
  </si>
  <si>
    <t xml:space="preserve">GRAVETTE</t>
  </si>
  <si>
    <t xml:space="preserve">Jean-Michel</t>
  </si>
  <si>
    <t xml:space="preserve">GUENZI</t>
  </si>
  <si>
    <t xml:space="preserve">Gauthier-Guillaume</t>
  </si>
  <si>
    <t xml:space="preserve">Technicien polyvalent au COB d'Ajaccio</t>
  </si>
  <si>
    <t xml:space="preserve">HOFFMAN</t>
  </si>
  <si>
    <t xml:space="preserve">CEDRIC</t>
  </si>
  <si>
    <t xml:space="preserve">Inspecteur.rice de la sécurité des navires</t>
  </si>
  <si>
    <t xml:space="preserve">JULIANS</t>
  </si>
  <si>
    <t xml:space="preserve">Magasinier</t>
  </si>
  <si>
    <t xml:space="preserve">SEF SETE</t>
  </si>
  <si>
    <t xml:space="preserve">LAROCHE</t>
  </si>
  <si>
    <t xml:space="preserve">Celine</t>
  </si>
  <si>
    <t xml:space="preserve">Gestionnaire formation maritime</t>
  </si>
  <si>
    <t xml:space="preserve">LE MOEL</t>
  </si>
  <si>
    <t xml:space="preserve">Stéphane</t>
  </si>
  <si>
    <t xml:space="preserve">Technicien en maintenance des systèmes de communication</t>
  </si>
  <si>
    <t xml:space="preserve">LESCH</t>
  </si>
  <si>
    <t xml:space="preserve">Thierry</t>
  </si>
  <si>
    <t xml:space="preserve">agent de maintenance exploitation des ESM Corse-du-Sud</t>
  </si>
  <si>
    <t xml:space="preserve">LETELLIER</t>
  </si>
  <si>
    <t xml:space="preserve">Jenifer</t>
  </si>
  <si>
    <t xml:space="preserve">Chef du COB de Sète</t>
  </si>
  <si>
    <t xml:space="preserve">LUCAS</t>
  </si>
  <si>
    <t xml:space="preserve">Inspecteur de la sécurité des navires</t>
  </si>
  <si>
    <t xml:space="preserve">MAJOR</t>
  </si>
  <si>
    <t xml:space="preserve">Stephane</t>
  </si>
  <si>
    <t xml:space="preserve">Adjoint.e chef du service des phares et balises - Continent</t>
  </si>
  <si>
    <t xml:space="preserve">MANIAUDEIX</t>
  </si>
  <si>
    <t xml:space="preserve">Pierrick</t>
  </si>
  <si>
    <t xml:space="preserve">MARTINEZ</t>
  </si>
  <si>
    <t xml:space="preserve">Philippe</t>
  </si>
  <si>
    <t xml:space="preserve">MASSON</t>
  </si>
  <si>
    <t xml:space="preserve">Fabien</t>
  </si>
  <si>
    <t xml:space="preserve">CSN LR PORT LA NOUV</t>
  </si>
  <si>
    <t xml:space="preserve">MAURELLET</t>
  </si>
  <si>
    <t xml:space="preserve">Dominique</t>
  </si>
  <si>
    <t xml:space="preserve">MEUDRE</t>
  </si>
  <si>
    <t xml:space="preserve">Magali</t>
  </si>
  <si>
    <t xml:space="preserve">adjoint du chef du service des phares &amp; balises Méditerranée</t>
  </si>
  <si>
    <t xml:space="preserve">DEL CORSE</t>
  </si>
  <si>
    <t xml:space="preserve">MICHEL</t>
  </si>
  <si>
    <t xml:space="preserve">Marc</t>
  </si>
  <si>
    <t xml:space="preserve">Délégué du DIRM MED en Corse</t>
  </si>
  <si>
    <t xml:space="preserve">MONNIER</t>
  </si>
  <si>
    <t xml:space="preserve">Joseph</t>
  </si>
  <si>
    <t xml:space="preserve">contrôleur sécurité des navires</t>
  </si>
  <si>
    <t xml:space="preserve">MOULIN</t>
  </si>
  <si>
    <t xml:space="preserve">Bérenger</t>
  </si>
  <si>
    <t xml:space="preserve">Technicien génie civil et chaudronnerie du balisage - OPAB</t>
  </si>
  <si>
    <t xml:space="preserve">SEF BASTIA</t>
  </si>
  <si>
    <t xml:space="preserve">PANTALACCI</t>
  </si>
  <si>
    <t xml:space="preserve">PAPI</t>
  </si>
  <si>
    <t xml:space="preserve">Jean Louis</t>
  </si>
  <si>
    <t xml:space="preserve">responsable CEI Bonifacio</t>
  </si>
  <si>
    <t xml:space="preserve">PECORELLA</t>
  </si>
  <si>
    <t xml:space="preserve">Daniel</t>
  </si>
  <si>
    <t xml:space="preserve">Responsable atelier chaudronnerie au COB de Marseille</t>
  </si>
  <si>
    <t xml:space="preserve">PELLEGRINI</t>
  </si>
  <si>
    <t xml:space="preserve">Alfred</t>
  </si>
  <si>
    <t xml:space="preserve">Agent de maintenance des aides à la navigation maritime</t>
  </si>
  <si>
    <t xml:space="preserve">PELLET</t>
  </si>
  <si>
    <t xml:space="preserve">Nicolas</t>
  </si>
  <si>
    <t xml:space="preserve">Ouvrier polyvalent / Dessinateur</t>
  </si>
  <si>
    <t xml:space="preserve">PESCIA</t>
  </si>
  <si>
    <t xml:space="preserve">Manon</t>
  </si>
  <si>
    <t xml:space="preserve">Chargé d'études maritimes</t>
  </si>
  <si>
    <t xml:space="preserve">PLENECASSAGNE-CARASSO</t>
  </si>
  <si>
    <t xml:space="preserve">Adrien</t>
  </si>
  <si>
    <t xml:space="preserve">Technicien.ne CEI, centre opérationnel balisage de Marseille</t>
  </si>
  <si>
    <t xml:space="preserve">SPBM BAAF AJACCIO</t>
  </si>
  <si>
    <t xml:space="preserve">POIRIER</t>
  </si>
  <si>
    <t xml:space="preserve">Marie Anne</t>
  </si>
  <si>
    <t xml:space="preserve">gestionnnaire polyvalent</t>
  </si>
  <si>
    <t xml:space="preserve">INM 556 AU 14/03/2026</t>
  </si>
  <si>
    <t xml:space="preserve">POLI</t>
  </si>
  <si>
    <t xml:space="preserve">Ignace</t>
  </si>
  <si>
    <t xml:space="preserve">Ouvrier  Maintenance des ESM</t>
  </si>
  <si>
    <t xml:space="preserve">retraite au 23/07/2025</t>
  </si>
  <si>
    <t xml:space="preserve">SPBM BAAF MARSEILLE</t>
  </si>
  <si>
    <t xml:space="preserve">QUAGLIA</t>
  </si>
  <si>
    <t xml:space="preserve">Claudine</t>
  </si>
  <si>
    <t xml:space="preserve">REY</t>
  </si>
  <si>
    <t xml:space="preserve">Pascal</t>
  </si>
  <si>
    <t xml:space="preserve">RIGAZZI</t>
  </si>
  <si>
    <t xml:space="preserve">Denis</t>
  </si>
  <si>
    <t xml:space="preserve">ouvrier polyvalent</t>
  </si>
  <si>
    <t xml:space="preserve">ROUSSET</t>
  </si>
  <si>
    <t xml:space="preserve">Olivier</t>
  </si>
  <si>
    <t xml:space="preserve">SALVADORI</t>
  </si>
  <si>
    <t xml:space="preserve">Chef du service des phares et balises Haute Corse</t>
  </si>
  <si>
    <t xml:space="preserve">SAUVAGET</t>
  </si>
  <si>
    <t xml:space="preserve">Jérôme</t>
  </si>
  <si>
    <t xml:space="preserve">Chef d'équipe génie civil</t>
  </si>
  <si>
    <t xml:space="preserve">SIMONS</t>
  </si>
  <si>
    <t xml:space="preserve">Contrôleur CEI secteur Aude</t>
  </si>
  <si>
    <t xml:space="preserve">SONZOGNI</t>
  </si>
  <si>
    <t xml:space="preserve">Michael</t>
  </si>
  <si>
    <t xml:space="preserve">magasinier ouvrier polyvalent</t>
  </si>
  <si>
    <t xml:space="preserve">STEINER</t>
  </si>
  <si>
    <t xml:space="preserve">Jacques</t>
  </si>
  <si>
    <t xml:space="preserve">responsable d'exploitation COB</t>
  </si>
  <si>
    <t xml:space="preserve">SUROY</t>
  </si>
  <si>
    <t xml:space="preserve">MAXIME</t>
  </si>
  <si>
    <t xml:space="preserve">Chef.fe du centre opérationnel balisage Marseille et POLMAR</t>
  </si>
  <si>
    <t xml:space="preserve">SZENKER</t>
  </si>
  <si>
    <t xml:space="preserve">CYRILLE</t>
  </si>
  <si>
    <t xml:space="preserve">Responsable de l'antenne de Bonifacio</t>
  </si>
  <si>
    <t xml:space="preserve">TARAUD</t>
  </si>
  <si>
    <t xml:space="preserve">Irenee</t>
  </si>
  <si>
    <t xml:space="preserve">OPA polyvalent</t>
  </si>
  <si>
    <t xml:space="preserve">VALETTO</t>
  </si>
  <si>
    <t xml:space="preserve">Ludovic</t>
  </si>
  <si>
    <t xml:space="preserve">Controleur CROSS</t>
  </si>
  <si>
    <t xml:space="preserve">TAUREL</t>
  </si>
  <si>
    <t xml:space="preserve">Mario</t>
  </si>
  <si>
    <t xml:space="preserve">VERY</t>
  </si>
  <si>
    <t xml:space="preserve">Gwénolé</t>
  </si>
  <si>
    <t xml:space="preserve">chef du COB Ajaccio</t>
  </si>
  <si>
    <t xml:space="preserve">VIOLETTE</t>
  </si>
  <si>
    <t xml:space="preserve">Responsable du CEI</t>
  </si>
  <si>
    <t xml:space="preserve">MANZON </t>
  </si>
  <si>
    <t xml:space="preserve">Grégory</t>
  </si>
  <si>
    <t xml:space="preserve">Technicien polyvalent chargé de la maintenance des aides à la navigation</t>
  </si>
  <si>
    <t xml:space="preserve">VILLE</t>
  </si>
  <si>
    <t xml:space="preserve">ETABLISSEMENT</t>
  </si>
  <si>
    <t xml:space="preserve">SIRET</t>
  </si>
  <si>
    <t xml:space="preserve">EJ</t>
  </si>
  <si>
    <t xml:space="preserve">DISPONIBLE TTC 2024</t>
  </si>
  <si>
    <t xml:space="preserve">RESTE POSTE 2025</t>
  </si>
  <si>
    <t xml:space="preserve">COMMENTAIRE</t>
  </si>
  <si>
    <t xml:space="preserve">DISPONIBLE TTC 2025</t>
  </si>
  <si>
    <t xml:space="preserve">Point conso CP au 07/07/2025</t>
  </si>
  <si>
    <t xml:space="preserve">AJACCIO</t>
  </si>
  <si>
    <t xml:space="preserve">Restaurant l'Amirauté (DACO)</t>
  </si>
  <si>
    <t xml:space="preserve">P2 204,85€
P3 21,46€
P4 5500€</t>
  </si>
  <si>
    <t xml:space="preserve">Nouvelle convention à compter du 01/01/2025
ESTIMATION ANNUELLE 5500€ TTC</t>
  </si>
  <si>
    <t xml:space="preserve">5 726,31</t>
  </si>
  <si>
    <t xml:space="preserve">Restaurant Le bamboo</t>
  </si>
  <si>
    <t xml:space="preserve">P2 0€
P3 2767,40€</t>
  </si>
  <si>
    <t xml:space="preserve">Nouvelle convention à compter du 01/01/2025
NB ABDT 3000€ TTC 10% CONSO 2024 1082€</t>
  </si>
  <si>
    <t xml:space="preserve">Leclerc (Rocade distribution)</t>
  </si>
  <si>
    <t xml:space="preserve">Poste 5</t>
  </si>
  <si>
    <t xml:space="preserve">Nouvelle convention à compter du 01/01/2025
ESTIMATION ANNUELLE 6540€ TTC</t>
  </si>
  <si>
    <t xml:space="preserve">BASTIA/BIGUGLIA</t>
  </si>
  <si>
    <t xml:space="preserve">SPAR</t>
  </si>
  <si>
    <t xml:space="preserve">3000
EJ 1506984445</t>
  </si>
  <si>
    <t xml:space="preserve">P1</t>
  </si>
  <si>
    <t xml:space="preserve">Nouvelle convention signée le 22/10/2024 (ancien engagement 1506984445)
NB L'EJ A ÉTÉ REALISE SANS TVA</t>
  </si>
  <si>
    <t xml:space="preserve">BASTIA </t>
  </si>
  <si>
    <t xml:space="preserve">RIA PREFECTURE BASTIA</t>
  </si>
  <si>
    <t xml:space="preserve">Convention du 23/10/24 au 31/12/25-renouvellement par tacite reconduction</t>
  </si>
  <si>
    <t xml:space="preserve">BONIFACIO</t>
  </si>
  <si>
    <t xml:space="preserve">SPAR (Simoni distribution)</t>
  </si>
  <si>
    <t xml:space="preserve"> </t>
  </si>
  <si>
    <t xml:space="preserve">Convention du /11/2024 au 31/10/2025 renouvellement par tacite reconduction pour une durée d'un an à concurrence de trois ans maximum ( ancien engagement 1506139742)
NB ESTIMATION A 3400€ TTC MAIS LE SP AVAIT FAIT UNE DDE DE SON COTE AVEC UNE ESTIMATION A 4450€ SANS TVA</t>
  </si>
  <si>
    <t xml:space="preserve">SETE</t>
  </si>
  <si>
    <t xml:space="preserve">ALLIANCE TRAITEUR</t>
  </si>
  <si>
    <t xml:space="preserve">Convention du 01/11/24 au 31/12/25 renouvellement par tacite reconduction pour une durée d'un an à concurrence de trois ans maximum
</t>
  </si>
  <si>
    <t xml:space="preserve">LA GARDE</t>
  </si>
  <si>
    <t xml:space="preserve">AGERES</t>
  </si>
  <si>
    <t xml:space="preserve">Convention du 01/01/2025 au 31/12/25 renouvellement par tacite reconduction pour une durée d'un an à concurrence de quatre ans maximum
MT PREV ANNUEL 1160€ TTC</t>
  </si>
  <si>
    <t xml:space="preserve">SERVICE</t>
  </si>
  <si>
    <t xml:space="preserve">MONTANT TTC 2025</t>
  </si>
  <si>
    <t xml:space="preserve">POSTE</t>
  </si>
  <si>
    <t xml:space="preserve">COB AJACCCIO</t>
  </si>
  <si>
    <t xml:space="preserve">P4</t>
  </si>
  <si>
    <t xml:space="preserve">Convention obsolete en cours de renouvellement pour 2025</t>
  </si>
  <si>
    <t xml:space="preserve">P3</t>
  </si>
  <si>
    <t xml:space="preserve">COB BASTIA (BIGUGLIA)</t>
  </si>
  <si>
    <t xml:space="preserve">EJ EN COURS DE VALIDATION</t>
  </si>
  <si>
    <t xml:space="preserve">Convention du 01/01/2025 au 31/12/2025 renouvellement par tacite reconduction pour une durée d'un an à concurrence de trois ans maximum ( ancien engagement 1506984445)</t>
  </si>
  <si>
    <t xml:space="preserve">BASTIA (CSN/SSGM/DDAM)</t>
  </si>
  <si>
    <t xml:space="preserve">Convention du /11/2024 au 31/10/2025 renouvellement par tacite reconduction pour une durée d'un an à concurrence de trois ans maximum ( ancien engagement 1506139742)</t>
  </si>
  <si>
    <t xml:space="preserve">COB CANNES</t>
  </si>
  <si>
    <t xml:space="preserve">NON INTERESSES PAR UN CONVENTIONNEMENT</t>
  </si>
  <si>
    <t xml:space="preserve">SETE (COB/CSN/DML)</t>
  </si>
  <si>
    <t xml:space="preserve">Convention du 01/11/24 au 31/12/25 renouvellement par tacite reconduction pour une durée d'un an à concurrence de trois ans maximum</t>
  </si>
  <si>
    <t xml:space="preserve">COB MARSEILLE</t>
  </si>
  <si>
    <t xml:space="preserve">AUCUN RETOUR DEPUIS LE 30/08/2024</t>
  </si>
  <si>
    <t xml:space="preserve">CSN MARTIGUES et PORT-LA-NOUVELLE</t>
  </si>
  <si>
    <t xml:space="preserve">AUCUN CONVENTIONNEMENT TROUVE EN RAISON DU FAIBLE NOMBRE D'AGENTS CONCERNES</t>
  </si>
  <si>
    <t xml:space="preserve">CHAFFURIN</t>
  </si>
  <si>
    <t xml:space="preserve">Remi</t>
  </si>
  <si>
    <t xml:space="preserve">SPBM BONIFACIO</t>
  </si>
  <si>
    <t xml:space="preserve">CHAMBON</t>
  </si>
  <si>
    <t xml:space="preserve">Clément</t>
  </si>
  <si>
    <t xml:space="preserve">Vacataire</t>
  </si>
  <si>
    <t xml:space="preserve">POLMAR CONTINENT</t>
  </si>
  <si>
    <t xml:space="preserve">FARRUGIA</t>
  </si>
  <si>
    <t xml:space="preserve">Mécanicien</t>
  </si>
  <si>
    <t xml:space="preserve">FOUBERT</t>
  </si>
  <si>
    <t xml:space="preserve">adjont du COB de Sète</t>
  </si>
  <si>
    <t xml:space="preserve">JANNOT</t>
  </si>
  <si>
    <t xml:space="preserve">Adélaïde</t>
  </si>
  <si>
    <t xml:space="preserve">Adjoint du chef de service des affaires économiques</t>
  </si>
  <si>
    <t xml:space="preserve">Nombre de personnes concernées</t>
  </si>
  <si>
    <t xml:space="preserve">Niveau 08 Opé. : Libellé Court</t>
  </si>
  <si>
    <t xml:space="preserve">département</t>
  </si>
  <si>
    <t xml:space="preserve">subvention</t>
  </si>
  <si>
    <t xml:space="preserve">Etat Civil : Nom d'usage</t>
  </si>
  <si>
    <t xml:space="preserve">Etat Civil : Prénom</t>
  </si>
  <si>
    <t xml:space="preserve">ETPT RH : Poste Libellé long</t>
  </si>
  <si>
    <t xml:space="preserve">DEKNUYDT</t>
  </si>
  <si>
    <t xml:space="preserve">Gauthier</t>
  </si>
  <si>
    <t xml:space="preserve">responsable du COB de Cannes</t>
  </si>
  <si>
    <t xml:space="preserve">COB CANNES </t>
  </si>
  <si>
    <t xml:space="preserve">CORBINEAU</t>
  </si>
  <si>
    <t xml:space="preserve">Contrôleur phares et balises ? secteur Ouest</t>
  </si>
  <si>
    <t xml:space="preserve">NON INTERESSES REP LE 30/08</t>
  </si>
  <si>
    <t xml:space="preserve">technicien antenne de Cannes - COB de Toulon</t>
  </si>
  <si>
    <t xml:space="preserve">LE BERRE</t>
  </si>
  <si>
    <t xml:space="preserve">responsable du centre de ST Jean Cap Ferrat</t>
  </si>
  <si>
    <t xml:space="preserve">LECOT</t>
  </si>
  <si>
    <t xml:space="preserve">Responsable de l'antenne de Cannes</t>
  </si>
  <si>
    <t xml:space="preserve">EN ATTENTE DE REP DU SERVICE CONTACTE LE 30/08</t>
  </si>
  <si>
    <t xml:space="preserve">AGUIR</t>
  </si>
  <si>
    <t xml:space="preserve">Maher</t>
  </si>
  <si>
    <t xml:space="preserve">CSN 13</t>
  </si>
  <si>
    <t xml:space="preserve">BAS</t>
  </si>
  <si>
    <t xml:space="preserve">Aymeric</t>
  </si>
  <si>
    <t xml:space="preserve">NON CONCERNES RA MARSEILLE SUBVT A JOUR </t>
  </si>
  <si>
    <t xml:space="preserve">BILLON</t>
  </si>
  <si>
    <t xml:space="preserve">Marie-Claude</t>
  </si>
  <si>
    <t xml:space="preserve">Assistante du chef - CSN PACA Corse</t>
  </si>
  <si>
    <t xml:space="preserve">CULI</t>
  </si>
  <si>
    <t xml:space="preserve">Sonia</t>
  </si>
  <si>
    <t xml:space="preserve">DASPRE</t>
  </si>
  <si>
    <t xml:space="preserve">Florian</t>
  </si>
  <si>
    <t xml:space="preserve">DESMOULINS</t>
  </si>
  <si>
    <t xml:space="preserve">Charles</t>
  </si>
  <si>
    <t xml:space="preserve">CSN MARTIGUES</t>
  </si>
  <si>
    <t xml:space="preserve">HEYRAUD</t>
  </si>
  <si>
    <t xml:space="preserve">Serge</t>
  </si>
  <si>
    <t xml:space="preserve">JEHANNO</t>
  </si>
  <si>
    <t xml:space="preserve">Chef du CSN PACA Corse</t>
  </si>
  <si>
    <t xml:space="preserve">BOUTEILLON</t>
  </si>
  <si>
    <t xml:space="preserve">RUDLOFF</t>
  </si>
  <si>
    <t xml:space="preserve">SOLE</t>
  </si>
  <si>
    <t xml:space="preserve">VASSEUR</t>
  </si>
  <si>
    <t xml:space="preserve">coordonnateur commission régionale de sécurité</t>
  </si>
  <si>
    <t xml:space="preserve">VIAL</t>
  </si>
  <si>
    <t xml:space="preserve">CSN 13 MARTIGUES</t>
  </si>
  <si>
    <t xml:space="preserve">pascal</t>
  </si>
  <si>
    <t xml:space="preserve">DIR</t>
  </si>
  <si>
    <t xml:space="preserve">DIRM MED DIR</t>
  </si>
  <si>
    <t xml:space="preserve">LENORMAND</t>
  </si>
  <si>
    <t xml:space="preserve">DIRM Méditerranée</t>
  </si>
  <si>
    <t xml:space="preserve">DIRM</t>
  </si>
  <si>
    <t xml:space="preserve">MARIANI</t>
  </si>
  <si>
    <t xml:space="preserve">Nadia</t>
  </si>
  <si>
    <t xml:space="preserve">Secrétaire de direction</t>
  </si>
  <si>
    <t xml:space="preserve">PERON</t>
  </si>
  <si>
    <t xml:space="preserve">Directeur adjoint du DIRM Méditerranée</t>
  </si>
  <si>
    <t xml:space="preserve">ROUSSEAU</t>
  </si>
  <si>
    <t xml:space="preserve">Stephan</t>
  </si>
  <si>
    <t xml:space="preserve">Adjoint à la sécurité sur la façade Méditerranée</t>
  </si>
  <si>
    <t xml:space="preserve">SG</t>
  </si>
  <si>
    <t xml:space="preserve">DIRM MED SG</t>
  </si>
  <si>
    <t xml:space="preserve">BINDL</t>
  </si>
  <si>
    <t xml:space="preserve">chef de l'unité informatique</t>
  </si>
  <si>
    <t xml:space="preserve">BROYEZ</t>
  </si>
  <si>
    <t xml:space="preserve">Marlène</t>
  </si>
  <si>
    <t xml:space="preserve">assistante comptable</t>
  </si>
  <si>
    <t xml:space="preserve">COSTES</t>
  </si>
  <si>
    <t xml:space="preserve">Jean-Bernard</t>
  </si>
  <si>
    <t xml:space="preserve">Secrétaire général</t>
  </si>
  <si>
    <t xml:space="preserve">CRAGUE</t>
  </si>
  <si>
    <t xml:space="preserve">Anne-Laure</t>
  </si>
  <si>
    <t xml:space="preserve">SG adjointe / chargée de communication</t>
  </si>
  <si>
    <t xml:space="preserve">DE FAZIO</t>
  </si>
  <si>
    <t xml:space="preserve">Adjoint du chef de l'unité informatique</t>
  </si>
  <si>
    <t xml:space="preserve">GALLARDO</t>
  </si>
  <si>
    <t xml:space="preserve">Karine</t>
  </si>
  <si>
    <t xml:space="preserve">responsable de l'unité budgétaire</t>
  </si>
  <si>
    <t xml:space="preserve">GRAZIANO</t>
  </si>
  <si>
    <t xml:space="preserve">Secrétaire SG</t>
  </si>
  <si>
    <t xml:space="preserve">GUIDUCCI</t>
  </si>
  <si>
    <t xml:space="preserve">Ghyslaine</t>
  </si>
  <si>
    <t xml:space="preserve">Assistant comptable</t>
  </si>
  <si>
    <t xml:space="preserve">KHOSIASHVILI</t>
  </si>
  <si>
    <t xml:space="preserve">Lydia</t>
  </si>
  <si>
    <t xml:space="preserve">Adjoint au chef de l?unité Ressources Humaines</t>
  </si>
  <si>
    <t xml:space="preserve">LACROIX</t>
  </si>
  <si>
    <t xml:space="preserve">Conseiller prévention</t>
  </si>
  <si>
    <t xml:space="preserve">LECONTE</t>
  </si>
  <si>
    <t xml:space="preserve">Sylvie</t>
  </si>
  <si>
    <t xml:space="preserve">Responsable RH</t>
  </si>
  <si>
    <t xml:space="preserve">MAILLOT</t>
  </si>
  <si>
    <t xml:space="preserve">Gestionnaire de dispositif de resssources humaines</t>
  </si>
  <si>
    <t xml:space="preserve">MAITREPIERRE</t>
  </si>
  <si>
    <t xml:space="preserve">Lucile</t>
  </si>
  <si>
    <t xml:space="preserve">chargé de mission formation et dossiers transversaux</t>
  </si>
  <si>
    <t xml:space="preserve">MAXENCE</t>
  </si>
  <si>
    <t xml:space="preserve">Alexis</t>
  </si>
  <si>
    <t xml:space="preserve">contrôleur de gestion</t>
  </si>
  <si>
    <t xml:space="preserve">DIRM MED SSGM</t>
  </si>
  <si>
    <t xml:space="preserve">GAIMARD</t>
  </si>
  <si>
    <t xml:space="preserve">GRAZIANI</t>
  </si>
  <si>
    <t xml:space="preserve">Corinne</t>
  </si>
  <si>
    <t xml:space="preserve">LAPAZ</t>
  </si>
  <si>
    <t xml:space="preserve">Lionel</t>
  </si>
  <si>
    <t xml:space="preserve">MICO</t>
  </si>
  <si>
    <t xml:space="preserve">MC</t>
  </si>
  <si>
    <t xml:space="preserve">BRICHET</t>
  </si>
  <si>
    <t xml:space="preserve">MARION</t>
  </si>
  <si>
    <t xml:space="preserve">adjoint.e du chef de la MICO</t>
  </si>
  <si>
    <t xml:space="preserve">IDOUX</t>
  </si>
  <si>
    <t xml:space="preserve">JULIE</t>
  </si>
  <si>
    <t xml:space="preserve">Chargé de mission stratégie maritime</t>
  </si>
  <si>
    <t xml:space="preserve">LE BOURHIS</t>
  </si>
  <si>
    <t xml:space="preserve">Kristenn</t>
  </si>
  <si>
    <t xml:space="preserve">Chef de la mission de coordination</t>
  </si>
  <si>
    <t xml:space="preserve">RODRIGUES</t>
  </si>
  <si>
    <t xml:space="preserve">Benoît</t>
  </si>
  <si>
    <t xml:space="preserve">Chargé de mission gouvernance et débats publics</t>
  </si>
  <si>
    <t xml:space="preserve">TALLEU</t>
  </si>
  <si>
    <t xml:space="preserve">Violaine</t>
  </si>
  <si>
    <t xml:space="preserve">chargé.e de mission milieu marin</t>
  </si>
  <si>
    <t xml:space="preserve">VIREVIALLE</t>
  </si>
  <si>
    <t xml:space="preserve">FRANCOIS</t>
  </si>
  <si>
    <t xml:space="preserve">chargé.e de mission "planification spatiale maritime"</t>
  </si>
  <si>
    <t xml:space="preserve">CHARRIER</t>
  </si>
  <si>
    <t xml:space="preserve">Responsable des ateliers POLMAR</t>
  </si>
  <si>
    <t xml:space="preserve">CONVENTION EVENTUELLE MAIS NON URGENT PDB 2 AGENTS CONCERNES</t>
  </si>
  <si>
    <t xml:space="preserve">FAVAS</t>
  </si>
  <si>
    <t xml:space="preserve">Jean-Paul</t>
  </si>
  <si>
    <t xml:space="preserve">Gestion technique et adm. des materiels Polmar</t>
  </si>
  <si>
    <t xml:space="preserve">AGGOUNE</t>
  </si>
  <si>
    <t xml:space="preserve">LEIZA</t>
  </si>
  <si>
    <t xml:space="preserve">chef du service emploi formation</t>
  </si>
  <si>
    <t xml:space="preserve">DERIU</t>
  </si>
  <si>
    <t xml:space="preserve">Catherine</t>
  </si>
  <si>
    <t xml:space="preserve">GUILLAUMEL-ANTONINI</t>
  </si>
  <si>
    <t xml:space="preserve">Cathy</t>
  </si>
  <si>
    <t xml:space="preserve">Adjointe du chef de service emploi et formation</t>
  </si>
  <si>
    <t xml:space="preserve">JAMME</t>
  </si>
  <si>
    <t xml:space="preserve">PAILLON</t>
  </si>
  <si>
    <t xml:space="preserve">PARADELO</t>
  </si>
  <si>
    <t xml:space="preserve">Jose</t>
  </si>
  <si>
    <t xml:space="preserve">CASTEL</t>
  </si>
  <si>
    <t xml:space="preserve">Mathieu</t>
  </si>
  <si>
    <t xml:space="preserve">assistant du chef de service</t>
  </si>
  <si>
    <t xml:space="preserve">GOUDEAU</t>
  </si>
  <si>
    <t xml:space="preserve">Valerie</t>
  </si>
  <si>
    <t xml:space="preserve">Chef.fe du service des phares et balises de Méditerranée</t>
  </si>
  <si>
    <t xml:space="preserve">COB AJACCIO</t>
  </si>
  <si>
    <t xml:space="preserve">SRC</t>
  </si>
  <si>
    <t xml:space="preserve">MOTTA</t>
  </si>
  <si>
    <t xml:space="preserve">Pierre</t>
  </si>
  <si>
    <t xml:space="preserve">Chef du service réglementation et contrôle</t>
  </si>
  <si>
    <t xml:space="preserve">PEARCE</t>
  </si>
  <si>
    <t xml:space="preserve">gestionnaire du service réglementation contrôle</t>
  </si>
  <si>
    <t xml:space="preserve">SARGEOT</t>
  </si>
  <si>
    <t xml:space="preserve">Aurelia</t>
  </si>
  <si>
    <t xml:space="preserve">adjoint chef du service réglementation contrôle</t>
  </si>
  <si>
    <t xml:space="preserve">CSN LR CONVENTION EN COURS BRASSERIE PALACE VU AVEC JL DESFORGES LE 30/08 MODELE DE CONV A TRANSMETTRE</t>
  </si>
  <si>
    <t xml:space="preserve">LPM SETE</t>
  </si>
  <si>
    <t xml:space="preserve">BESSOUD</t>
  </si>
  <si>
    <t xml:space="preserve">Solène</t>
  </si>
  <si>
    <t xml:space="preserve">Assistant de direction du lycée professionnel maritime de Sè</t>
  </si>
  <si>
    <t xml:space="preserve">RA LYCEE </t>
  </si>
  <si>
    <t xml:space="preserve">CENTO</t>
  </si>
  <si>
    <t xml:space="preserve">Nathalie</t>
  </si>
  <si>
    <t xml:space="preserve">Secrétaire accueil</t>
  </si>
  <si>
    <t xml:space="preserve">LEQUES</t>
  </si>
  <si>
    <t xml:space="preserve">Pascale</t>
  </si>
  <si>
    <t xml:space="preserve">Secrétaire comptable</t>
  </si>
  <si>
    <t xml:space="preserve">PELEGRIN</t>
  </si>
  <si>
    <t xml:space="preserve">Chef d'établissement lycée de Sète</t>
  </si>
  <si>
    <t xml:space="preserve">POCH</t>
  </si>
  <si>
    <t xml:space="preserve">Marie-Sophie</t>
  </si>
  <si>
    <t xml:space="preserve">Directeur adjoint LPM SETE</t>
  </si>
  <si>
    <t xml:space="preserve">RANGER</t>
  </si>
  <si>
    <t xml:space="preserve">Céline</t>
  </si>
  <si>
    <t xml:space="preserve">Secrétaire général du lycée</t>
  </si>
  <si>
    <t xml:space="preserve">SAE SEF SETE CONVENTION EN COURS BRASSERIE PALACE VU AVEC JL DESFORGES LE 30/08 MODELE DE CONV A TRANSMETTRE</t>
  </si>
  <si>
    <t xml:space="preserve">SSGM SETE</t>
  </si>
  <si>
    <t xml:space="preserve">DE FLEURIAN BANON</t>
  </si>
  <si>
    <t xml:space="preserve">Gwendoline</t>
  </si>
  <si>
    <t xml:space="preserve">Médecin des gens de mer</t>
  </si>
  <si>
    <t xml:space="preserve">RA LYCEE</t>
  </si>
  <si>
    <t xml:space="preserve">MERRIEN</t>
  </si>
  <si>
    <t xml:space="preserve">Marie-Dominique</t>
  </si>
  <si>
    <t xml:space="preserve">COB TOULON</t>
  </si>
  <si>
    <t xml:space="preserve">AGOSTINO</t>
  </si>
  <si>
    <t xml:space="preserve">Andre</t>
  </si>
  <si>
    <t xml:space="preserve">Agent atelier des phares et balises</t>
  </si>
  <si>
    <t xml:space="preserve">RA NON CONCERNE VERIF SI SUBVT A JOUR ENVOI MESSAGE K MAROTTA 30/08</t>
  </si>
  <si>
    <t xml:space="preserve">GALL</t>
  </si>
  <si>
    <t xml:space="preserve">Herve</t>
  </si>
  <si>
    <t xml:space="preserve">Adjoint au chef de subdivision</t>
  </si>
  <si>
    <t xml:space="preserve">LHOSTE</t>
  </si>
  <si>
    <t xml:space="preserve">Technicien.ne polyvalent.e centre opérationnel balisage 83</t>
  </si>
  <si>
    <t xml:space="preserve">MAZURIER</t>
  </si>
  <si>
    <t xml:space="preserve">Antenne Est-Var du CEI Toulon</t>
  </si>
  <si>
    <t xml:space="preserve">MEURAY</t>
  </si>
  <si>
    <t xml:space="preserve">Technicien centre opérationnel de Toulon</t>
  </si>
  <si>
    <t xml:space="preserve">RAPENNE</t>
  </si>
  <si>
    <t xml:space="preserve">Emmanuel</t>
  </si>
  <si>
    <t xml:space="preserve">Station contrôle de Porquerolles</t>
  </si>
  <si>
    <t xml:space="preserve">VISCAINO</t>
  </si>
  <si>
    <t xml:space="preserve">Responsable des établissements de signalisation maritime</t>
  </si>
  <si>
    <t xml:space="preserve">BAUX</t>
  </si>
  <si>
    <t xml:space="preserve">Coordinateur de mission de sauvetage</t>
  </si>
  <si>
    <t xml:space="preserve">mess</t>
  </si>
  <si>
    <t xml:space="preserve">COUGOUREUX</t>
  </si>
  <si>
    <t xml:space="preserve">Louis</t>
  </si>
  <si>
    <t xml:space="preserve">superviseur "Marilyn"</t>
  </si>
  <si>
    <t xml:space="preserve">DAVY</t>
  </si>
  <si>
    <t xml:space="preserve">Ronan</t>
  </si>
  <si>
    <t xml:space="preserve">Coordonateur de la sécurité en mer - adjoint directeur CROSS</t>
  </si>
  <si>
    <t xml:space="preserve">DELEFLIE</t>
  </si>
  <si>
    <t xml:space="preserve">LE MASNE DE CHERMONT</t>
  </si>
  <si>
    <t xml:space="preserve">Directeur du CROSS</t>
  </si>
  <si>
    <t xml:space="preserve">LE MOUEL</t>
  </si>
  <si>
    <t xml:space="preserve">STEPHANE</t>
  </si>
  <si>
    <t xml:space="preserve">LOZACHMEUR</t>
  </si>
  <si>
    <t xml:space="preserve">Coordinateur de la sécurité en mer</t>
  </si>
  <si>
    <t xml:space="preserve">MAFFEO</t>
  </si>
  <si>
    <t xml:space="preserve">Emmanuelle</t>
  </si>
  <si>
    <t xml:space="preserve">Chef du service vie courante - responsable RH</t>
  </si>
  <si>
    <t xml:space="preserve">PETIT</t>
  </si>
  <si>
    <t xml:space="preserve">CSN PC TOULON</t>
  </si>
  <si>
    <t xml:space="preserve">BIDAUX</t>
  </si>
  <si>
    <t xml:space="preserve">Gael</t>
  </si>
  <si>
    <t xml:space="preserve">CLAVIER</t>
  </si>
  <si>
    <t xml:space="preserve">IKRAM</t>
  </si>
  <si>
    <t xml:space="preserve">Jamel</t>
  </si>
  <si>
    <t xml:space="preserve">PLU</t>
  </si>
  <si>
    <t xml:space="preserve">ISN en CSN - responsable de l'antenne de Toulon</t>
  </si>
  <si>
    <t xml:space="preserve">SIMONI</t>
  </si>
  <si>
    <t xml:space="preserve">Julien</t>
  </si>
  <si>
    <t xml:space="preserve">Chargé de mission de coordination du contrôle du droit du travail maritime</t>
  </si>
  <si>
    <t xml:space="preserve">ARTAUD</t>
  </si>
  <si>
    <t xml:space="preserve">Eric</t>
  </si>
  <si>
    <t xml:space="preserve">Gestionnaire formation professionnelle</t>
  </si>
  <si>
    <t xml:space="preserve">SPBM BAAF TOULON</t>
  </si>
  <si>
    <t xml:space="preserve">MAROTTA</t>
  </si>
  <si>
    <t xml:space="preserve">Katia</t>
  </si>
  <si>
    <t xml:space="preserve">Assistant bureau d'appui administratif et financier</t>
  </si>
  <si>
    <t xml:space="preserve">SSGM TOULON</t>
  </si>
  <si>
    <t xml:space="preserve">COSSON</t>
  </si>
  <si>
    <t xml:space="preserve">Patrick</t>
  </si>
  <si>
    <t xml:space="preserve">Medecin des gens de Mer Toulon Nice</t>
  </si>
  <si>
    <t xml:space="preserve">GREMAUD</t>
  </si>
  <si>
    <t xml:space="preserve">Emilie</t>
  </si>
  <si>
    <t xml:space="preserve">11 ?</t>
  </si>
  <si>
    <t xml:space="preserve">convention af ?</t>
  </si>
  <si>
    <t xml:space="preserve">G.VERY</t>
  </si>
  <si>
    <t xml:space="preserve">C.SZENKER</t>
  </si>
  <si>
    <t xml:space="preserve">SSGM AJACCIO</t>
  </si>
  <si>
    <t xml:space="preserve">GRANDJEAN</t>
  </si>
  <si>
    <t xml:space="preserve">SSGM MARSEILLE</t>
  </si>
  <si>
    <t xml:space="preserve">DONNAREL</t>
  </si>
  <si>
    <t xml:space="preserve">Elodie</t>
  </si>
  <si>
    <t xml:space="preserve">DUPORT</t>
  </si>
  <si>
    <t xml:space="preserve">LEHOUCQ</t>
  </si>
  <si>
    <t xml:space="preserve">Non Renseigné</t>
  </si>
  <si>
    <t xml:space="preserve">M.SALVADORI</t>
  </si>
  <si>
    <t xml:space="preserve">DUCHESNE</t>
  </si>
  <si>
    <t xml:space="preserve">Chargé de maintenance des ESM</t>
  </si>
  <si>
    <t xml:space="preserve">Ouvrier ? Maintenance des ESM</t>
  </si>
  <si>
    <t xml:space="preserve">LPM BASTIA</t>
  </si>
  <si>
    <t xml:space="preserve">COMETTO</t>
  </si>
  <si>
    <t xml:space="preserve">Directeur adjoint du lycée professionnel de Bastia</t>
  </si>
  <si>
    <t xml:space="preserve">DI LIONE</t>
  </si>
  <si>
    <t xml:space="preserve">secrétaire général LPM BASTIA</t>
  </si>
  <si>
    <t xml:space="preserve">MOALLIC</t>
  </si>
  <si>
    <t xml:space="preserve">VIRGINIE</t>
  </si>
  <si>
    <t xml:space="preserve">Comptable au LPMA de Bastia</t>
  </si>
  <si>
    <t xml:space="preserve">ORSINI</t>
  </si>
  <si>
    <t xml:space="preserve">Evelyne</t>
  </si>
  <si>
    <t xml:space="preserve">Chef d'établissement lycée de Bastia</t>
  </si>
  <si>
    <t xml:space="preserve">Assistante du coordonnateur de la formation continue</t>
  </si>
  <si>
    <t xml:space="preserve">PAM GYPTIS</t>
  </si>
  <si>
    <t xml:space="preserve">NC</t>
  </si>
  <si>
    <t xml:space="preserve">ALRIC</t>
  </si>
  <si>
    <t xml:space="preserve">Cuisinier</t>
  </si>
  <si>
    <t xml:space="preserve">ARIZZI</t>
  </si>
  <si>
    <t xml:space="preserve">Agent mécanicien</t>
  </si>
  <si>
    <t xml:space="preserve">GUY</t>
  </si>
  <si>
    <t xml:space="preserve">Commandant de navire civil de l'Etat</t>
  </si>
  <si>
    <t xml:space="preserve">BURIEZ</t>
  </si>
  <si>
    <t xml:space="preserve">CALLEC</t>
  </si>
  <si>
    <t xml:space="preserve">YANN</t>
  </si>
  <si>
    <t xml:space="preserve">Agent pont</t>
  </si>
  <si>
    <t xml:space="preserve">CARVAL</t>
  </si>
  <si>
    <t xml:space="preserve">CERES</t>
  </si>
  <si>
    <t xml:space="preserve">Maître d'équipage</t>
  </si>
  <si>
    <t xml:space="preserve">LE GALL</t>
  </si>
  <si>
    <t xml:space="preserve">Thomas</t>
  </si>
  <si>
    <t xml:space="preserve">Commandant second navire civil de l'Etat</t>
  </si>
  <si>
    <t xml:space="preserve">CUVILLON</t>
  </si>
  <si>
    <t xml:space="preserve">DEMILLY</t>
  </si>
  <si>
    <t xml:space="preserve">LANGLOIS</t>
  </si>
  <si>
    <t xml:space="preserve">Hervé</t>
  </si>
  <si>
    <t xml:space="preserve">Electrotechnicien</t>
  </si>
  <si>
    <t xml:space="preserve">Chef de quart</t>
  </si>
  <si>
    <t xml:space="preserve">LE GUILLOU</t>
  </si>
  <si>
    <t xml:space="preserve">LEHODEY</t>
  </si>
  <si>
    <t xml:space="preserve">MARDELLE</t>
  </si>
  <si>
    <t xml:space="preserve">BOUVERET</t>
  </si>
  <si>
    <t xml:space="preserve">Maurice</t>
  </si>
  <si>
    <t xml:space="preserve">MORINET</t>
  </si>
  <si>
    <t xml:space="preserve">Patrice</t>
  </si>
  <si>
    <t xml:space="preserve">NAEL</t>
  </si>
  <si>
    <t xml:space="preserve">OLHAGARAY</t>
  </si>
  <si>
    <t xml:space="preserve">PARONNEAU</t>
  </si>
  <si>
    <t xml:space="preserve">Second mécanicien</t>
  </si>
  <si>
    <t xml:space="preserve">PECQUET</t>
  </si>
  <si>
    <t xml:space="preserve">PEYRE</t>
  </si>
  <si>
    <t xml:space="preserve">PIEL</t>
  </si>
  <si>
    <t xml:space="preserve">Christian</t>
  </si>
  <si>
    <t xml:space="preserve">Chef mécanicien</t>
  </si>
  <si>
    <t xml:space="preserve">POUVREAU</t>
  </si>
  <si>
    <t xml:space="preserve">Romain</t>
  </si>
  <si>
    <t xml:space="preserve">QUENTRIC</t>
  </si>
  <si>
    <t xml:space="preserve">RADIUS</t>
  </si>
  <si>
    <t xml:space="preserve">Caroline</t>
  </si>
  <si>
    <t xml:space="preserve">REBEYROTTE</t>
  </si>
  <si>
    <t xml:space="preserve">ROUE</t>
  </si>
  <si>
    <t xml:space="preserve">Lilian</t>
  </si>
  <si>
    <t xml:space="preserve">SIMON</t>
  </si>
  <si>
    <t xml:space="preserve">THOMINET</t>
  </si>
  <si>
    <t xml:space="preserve">ZAMARON</t>
  </si>
  <si>
    <t xml:space="preserve">Anne</t>
  </si>
  <si>
    <t xml:space="preserve">CONTRATS COURT</t>
  </si>
  <si>
    <t xml:space="preserve">CHIERA</t>
  </si>
  <si>
    <t xml:space="preserve">GIMMONEAU</t>
  </si>
  <si>
    <t xml:space="preserve">Axel</t>
  </si>
  <si>
    <t xml:space="preserve">OCCHIONERO</t>
  </si>
  <si>
    <t xml:space="preserve">Laura</t>
  </si>
  <si>
    <t xml:space="preserve">VIDAL</t>
  </si>
  <si>
    <t xml:space="preserve">Vincent</t>
  </si>
  <si>
    <t xml:space="preserve">DUPUY</t>
  </si>
  <si>
    <t xml:space="preserve">Paul</t>
  </si>
  <si>
    <t xml:space="preserve">SPB Marseille</t>
  </si>
  <si>
    <t xml:space="preserve">CASNOVA</t>
  </si>
  <si>
    <t xml:space="preserve">FOUCHARD</t>
  </si>
  <si>
    <t xml:space="preserve">MAINGRAUD </t>
  </si>
  <si>
    <t xml:space="preserve">ABBAMONTE</t>
  </si>
  <si>
    <t xml:space="preserve">Chantal</t>
  </si>
  <si>
    <t xml:space="preserve">SSGMSETE</t>
  </si>
  <si>
    <t xml:space="preserve">LAVOISIER</t>
  </si>
  <si>
    <t xml:space="preserve">Kylian</t>
  </si>
  <si>
    <t xml:space="preserve">titulaires</t>
  </si>
  <si>
    <t xml:space="preserve">contrats courts</t>
  </si>
  <si>
    <t xml:space="preserve">Bouches-du-Rhône</t>
  </si>
  <si>
    <t xml:space="preserve">Var</t>
  </si>
  <si>
    <t xml:space="preserve">Haute Corse</t>
  </si>
  <si>
    <t xml:space="preserve">Corse du Sud</t>
  </si>
  <si>
    <t xml:space="preserve">Alpes Maritimes</t>
  </si>
  <si>
    <t xml:space="preserve">Hérault</t>
  </si>
  <si>
    <t xml:space="preserve">Aude</t>
  </si>
  <si>
    <t xml:space="preserve">Subvention ministérielle complémentaire
(pas de condition INM)</t>
  </si>
  <si>
    <t xml:space="preserve">Subvention interministérielle
(si INM &lt; ou = 539)</t>
  </si>
  <si>
    <t xml:space="preserve">
Montant total subventionné si
Indice nouveau majoré (INM) &lt; OU= 539
</t>
  </si>
  <si>
    <t xml:space="preserve">
Montant total subventionné si
Indice nouveau majoré (INM) &gt; 539
</t>
  </si>
  <si>
    <t xml:space="preserve">Département des services subventionnés</t>
  </si>
  <si>
    <t xml:space="preserve">Montant  subventionné</t>
  </si>
  <si>
    <t xml:space="preserve">Nombre d'agents concernés</t>
  </si>
  <si>
    <t xml:space="preserve">Montant total subventionné journalier</t>
  </si>
  <si>
    <t xml:space="preserve">Montant total subventionné mensuel (23j)</t>
  </si>
  <si>
    <r>
      <rPr>
        <b val="true"/>
        <sz val="11"/>
        <color rgb="FF000000"/>
        <rFont val="Calibri"/>
        <family val="2"/>
        <charset val="1"/>
      </rPr>
      <t xml:space="preserve">Montant annuel prévisionnel  </t>
    </r>
    <r>
      <rPr>
        <b val="true"/>
        <u val="single"/>
        <sz val="11"/>
        <color rgb="FF000000"/>
        <rFont val="Calibri"/>
        <family val="2"/>
        <charset val="1"/>
      </rPr>
      <t xml:space="preserve">maximal</t>
    </r>
    <r>
      <rPr>
        <b val="true"/>
        <sz val="11"/>
        <color rgb="FF000000"/>
        <rFont val="Calibri"/>
        <family val="2"/>
        <charset val="1"/>
      </rPr>
      <t xml:space="preserve"> subventionné 2025</t>
    </r>
  </si>
  <si>
    <t xml:space="preserve">Montant estimatif en 2025</t>
  </si>
  <si>
    <t xml:space="preserve">SANS RA</t>
  </si>
  <si>
    <t xml:space="preserve">32 400 € (=conso 1er trim 2025 : 8100*4)</t>
  </si>
  <si>
    <t xml:space="preserve">SOUS-TOTAL</t>
  </si>
  <si>
    <t xml:space="preserve">RA</t>
  </si>
  <si>
    <t xml:space="preserve">25 000€ (=conso 2024 : 21917€ arrondie)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</si>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</sst>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€&quot;"/>
    <numFmt numFmtId="166" formatCode="#,##0.00&quot; €&quot;;[RED]\-#,##0.00&quot; €&quot;"/>
    <numFmt numFmtId="167" formatCode="0"/>
    <numFmt numFmtId="168" formatCode="00"/>
    <numFmt numFmtId="169" formatCode="#,##0.00&quot; €&quot;;[RED]#,##0.00&quot; €&quot;"/>
    <numFmt numFmtId="170" formatCode="_-* #,##0.00&quot; €&quot;_-;\-* #,##0.00&quot; €&quot;_-;_-* \-??&quot; €&quot;_-;_-@_-"/>
    <numFmt numFmtId="171" formatCode="#,##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6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D0CECE"/>
        <bgColor rgb="FFBEC6F1"/>
      </patternFill>
    </fill>
    <fill>
      <patternFill patternType="solid">
        <fgColor rgb="FFFFFFFE"/>
        <bgColor rgb="FFFFFFFF"/>
      </patternFill>
    </fill>
    <fill>
      <patternFill patternType="solid">
        <fgColor rgb="FFFFFFFF"/>
        <bgColor rgb="FFFFFFFE"/>
      </patternFill>
    </fill>
    <fill>
      <patternFill patternType="solid">
        <fgColor rgb="FF8FAADC"/>
        <bgColor rgb="FF729FCF"/>
      </patternFill>
    </fill>
    <fill>
      <patternFill patternType="solid">
        <fgColor rgb="FF70AD47"/>
        <bgColor rgb="FF808080"/>
      </patternFill>
    </fill>
    <fill>
      <patternFill patternType="solid">
        <fgColor rgb="FFDAE3F3"/>
        <bgColor rgb="FFC7E3E5"/>
      </patternFill>
    </fill>
    <fill>
      <patternFill patternType="solid">
        <fgColor rgb="FFF2D7F0"/>
        <bgColor rgb="FFDAE3F3"/>
      </patternFill>
    </fill>
    <fill>
      <patternFill patternType="solid">
        <fgColor rgb="FF00A933"/>
        <bgColor rgb="FF008000"/>
      </patternFill>
    </fill>
    <fill>
      <patternFill patternType="solid">
        <fgColor rgb="FFBEC6F1"/>
        <bgColor rgb="FFD0CECE"/>
      </patternFill>
    </fill>
    <fill>
      <patternFill patternType="solid">
        <fgColor rgb="FFFF8000"/>
        <bgColor rgb="FFFF6600"/>
      </patternFill>
    </fill>
    <fill>
      <patternFill patternType="solid">
        <fgColor rgb="FF729FCF"/>
        <bgColor rgb="FF8FAADC"/>
      </patternFill>
    </fill>
    <fill>
      <patternFill patternType="solid">
        <fgColor rgb="FFFF0000"/>
        <bgColor rgb="FFC9211E"/>
      </patternFill>
    </fill>
    <fill>
      <patternFill patternType="solid">
        <fgColor rgb="FFCCECCD"/>
        <bgColor rgb="FFC7E3E5"/>
      </patternFill>
    </fill>
    <fill>
      <patternFill patternType="solid">
        <fgColor rgb="FFF8F9DB"/>
        <bgColor rgb="FFFFFFFE"/>
      </patternFill>
    </fill>
    <fill>
      <patternFill patternType="solid">
        <fgColor rgb="FFC7E3E5"/>
        <bgColor rgb="FFCCECCD"/>
      </patternFill>
    </fill>
    <fill>
      <patternFill patternType="solid">
        <fgColor rgb="FFF9DA77"/>
        <bgColor rgb="FFFFCC99"/>
      </patternFill>
    </fill>
    <fill>
      <patternFill patternType="solid">
        <fgColor rgb="FFFFCC99"/>
        <bgColor rgb="FFF9DA77"/>
      </patternFill>
    </fill>
    <fill>
      <patternFill patternType="solid">
        <fgColor rgb="FFFFC000"/>
        <bgColor rgb="FFF9DA77"/>
      </patternFill>
    </fill>
    <fill>
      <patternFill patternType="solid">
        <fgColor rgb="FF4472C4"/>
        <bgColor rgb="FF6666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6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8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8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8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9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1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11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1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1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7" fillId="1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11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14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4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15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5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5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3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3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16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6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6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11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1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1" borderId="1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1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1" borderId="1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1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1" borderId="1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17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7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17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0" borderId="1" xfId="0" applyFont="true" applyBorder="true" applyAlignment="true" applyProtection="true">
      <alignment horizontal="right" vertical="center" textRotation="255" wrapText="true" indent="0" shrinkToFit="false"/>
      <protection locked="true" hidden="false"/>
    </xf>
    <xf numFmtId="164" fontId="1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D0CECE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EC6F1"/>
          <bgColor rgb="FF000000"/>
        </patternFill>
      </fill>
    </dxf>
    <dxf>
      <fill>
        <patternFill patternType="solid">
          <fgColor rgb="FFC7E3E5"/>
          <bgColor rgb="FF000000"/>
        </patternFill>
      </fill>
    </dxf>
    <dxf>
      <fill>
        <patternFill patternType="solid">
          <fgColor rgb="FFCCECCD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F2D7F0"/>
          <bgColor rgb="FF000000"/>
        </patternFill>
      </fill>
    </dxf>
    <dxf>
      <fill>
        <patternFill patternType="solid">
          <fgColor rgb="FFF8F9DB"/>
          <bgColor rgb="FF000000"/>
        </patternFill>
      </fill>
    </dxf>
    <dxf>
      <fill>
        <patternFill patternType="solid">
          <fgColor rgb="FFF9DA7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8FAADC"/>
      <rgbColor rgb="FF993366"/>
      <rgbColor rgb="FFF8F9DB"/>
      <rgbColor rgb="FFDAE3F3"/>
      <rgbColor rgb="FF660066"/>
      <rgbColor rgb="FFFF8080"/>
      <rgbColor rgb="FF0066CC"/>
      <rgbColor rgb="FFBEC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7E3E5"/>
      <rgbColor rgb="FFCCECCD"/>
      <rgbColor rgb="FFF9DA77"/>
      <rgbColor rgb="FFFFFFFE"/>
      <rgbColor rgb="FFF2D7F0"/>
      <rgbColor rgb="FFCC99FF"/>
      <rgbColor rgb="FFFFCC99"/>
      <rgbColor rgb="FF4472C4"/>
      <rgbColor rgb="FF33CCCC"/>
      <rgbColor rgb="FF70AD47"/>
      <rgbColor rgb="FFFFC000"/>
      <rgbColor rgb="FFFF8000"/>
      <rgbColor rgb="FFFF6600"/>
      <rgbColor rgb="FF666699"/>
      <rgbColor rgb="FF729FCF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56" activePane="bottomLeft" state="frozen"/>
      <selection pane="topLeft" activeCell="B1" activeCellId="0" sqref="B1"/>
      <selection pane="bottomLeft" activeCell="L62" activeCellId="0" sqref="L62"/>
    </sheetView>
  </sheetViews>
  <sheetFormatPr defaultColWidth="10.6953125" defaultRowHeight="14.25" customHeight="false" zeroHeight="false" outlineLevelRow="0" outlineLevelCol="0"/>
  <cols>
    <col collapsed="false" customWidth="true" hidden="false" outlineLevel="0" max="2" min="2" style="1" width="21.33"/>
    <col collapsed="false" customWidth="true" hidden="false" outlineLevel="0" max="3" min="3" style="1" width="13.43"/>
    <col collapsed="false" customWidth="true" hidden="false" outlineLevel="0" max="4" min="4" style="1" width="29.33"/>
    <col collapsed="false" customWidth="true" hidden="false" outlineLevel="0" max="5" min="5" style="1" width="10.99"/>
    <col collapsed="false" customWidth="true" hidden="false" outlineLevel="0" max="6" min="6" style="1" width="56.34"/>
    <col collapsed="false" customWidth="true" hidden="false" outlineLevel="0" max="7" min="7" style="1" width="16.44"/>
    <col collapsed="false" customWidth="true" hidden="false" outlineLevel="0" max="8" min="8" style="1" width="15"/>
    <col collapsed="false" customWidth="true" hidden="false" outlineLevel="0" max="11" min="11" style="1" width="13.66"/>
  </cols>
  <sheetData>
    <row r="1" customFormat="false" ht="91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customFormat="false" ht="14.25" hidden="false" customHeight="false" outlineLevel="0" collapsed="false">
      <c r="A2" s="5" t="s">
        <v>11</v>
      </c>
      <c r="B2" s="5" t="s">
        <v>12</v>
      </c>
      <c r="C2" s="6">
        <v>13</v>
      </c>
      <c r="D2" s="7" t="s">
        <v>13</v>
      </c>
      <c r="E2" s="5" t="s">
        <v>14</v>
      </c>
      <c r="F2" s="5" t="s">
        <v>15</v>
      </c>
      <c r="G2" s="8">
        <v>1.62</v>
      </c>
      <c r="H2" s="8">
        <v>3.4</v>
      </c>
      <c r="I2" s="9" t="s">
        <v>16</v>
      </c>
      <c r="J2" s="9"/>
      <c r="K2" s="10" t="n">
        <f aca="false">+G2+H2</f>
        <v>5.02</v>
      </c>
    </row>
    <row r="3" customFormat="false" ht="14.25" hidden="false" customHeight="false" outlineLevel="0" collapsed="false">
      <c r="A3" s="5" t="s">
        <v>11</v>
      </c>
      <c r="B3" s="5" t="s">
        <v>17</v>
      </c>
      <c r="C3" s="6" t="s">
        <v>18</v>
      </c>
      <c r="D3" s="11" t="s">
        <v>19</v>
      </c>
      <c r="E3" s="5" t="s">
        <v>20</v>
      </c>
      <c r="F3" s="5" t="s">
        <v>21</v>
      </c>
      <c r="G3" s="12">
        <v>1.5</v>
      </c>
      <c r="H3" s="8">
        <v>3.74</v>
      </c>
      <c r="I3" s="9" t="s">
        <v>16</v>
      </c>
      <c r="J3" s="5"/>
      <c r="K3" s="10" t="n">
        <f aca="false">+G3+H3</f>
        <v>5.24</v>
      </c>
    </row>
    <row r="4" customFormat="false" ht="14.25" hidden="false" customHeight="false" outlineLevel="0" collapsed="false">
      <c r="A4" s="5" t="s">
        <v>22</v>
      </c>
      <c r="B4" s="5" t="s">
        <v>23</v>
      </c>
      <c r="C4" s="6" t="s">
        <v>18</v>
      </c>
      <c r="D4" s="5" t="s">
        <v>24</v>
      </c>
      <c r="E4" s="5" t="s">
        <v>25</v>
      </c>
      <c r="F4" s="5" t="s">
        <v>26</v>
      </c>
      <c r="G4" s="12"/>
      <c r="H4" s="8">
        <v>3.74</v>
      </c>
      <c r="I4" s="5"/>
      <c r="J4" s="9" t="s">
        <v>16</v>
      </c>
      <c r="K4" s="10" t="n">
        <f aca="false">+H4</f>
        <v>3.74</v>
      </c>
    </row>
    <row r="5" customFormat="false" ht="14.25" hidden="false" customHeight="false" outlineLevel="0" collapsed="false">
      <c r="A5" s="5" t="s">
        <v>11</v>
      </c>
      <c r="B5" s="5" t="s">
        <v>27</v>
      </c>
      <c r="C5" s="6">
        <v>13</v>
      </c>
      <c r="D5" s="7" t="s">
        <v>28</v>
      </c>
      <c r="E5" s="5" t="s">
        <v>29</v>
      </c>
      <c r="F5" s="5" t="s">
        <v>30</v>
      </c>
      <c r="G5" s="8">
        <v>1.62</v>
      </c>
      <c r="H5" s="8">
        <v>3.4</v>
      </c>
      <c r="I5" s="9" t="s">
        <v>16</v>
      </c>
      <c r="J5" s="9"/>
      <c r="K5" s="10" t="n">
        <f aca="false">+G5+H5</f>
        <v>5.02</v>
      </c>
    </row>
    <row r="6" customFormat="false" ht="14.25" hidden="false" customHeight="false" outlineLevel="0" collapsed="false">
      <c r="A6" s="5" t="s">
        <v>11</v>
      </c>
      <c r="B6" s="5" t="s">
        <v>31</v>
      </c>
      <c r="C6" s="6" t="s">
        <v>32</v>
      </c>
      <c r="D6" s="11" t="s">
        <v>33</v>
      </c>
      <c r="E6" s="5" t="s">
        <v>34</v>
      </c>
      <c r="F6" s="5" t="s">
        <v>35</v>
      </c>
      <c r="G6" s="12">
        <v>1.5</v>
      </c>
      <c r="H6" s="8">
        <v>3</v>
      </c>
      <c r="I6" s="9" t="s">
        <v>16</v>
      </c>
      <c r="J6" s="5"/>
      <c r="K6" s="10" t="n">
        <f aca="false">+G6+H6</f>
        <v>4.5</v>
      </c>
    </row>
    <row r="7" customFormat="false" ht="14.25" hidden="false" customHeight="false" outlineLevel="0" collapsed="false">
      <c r="A7" s="5" t="s">
        <v>11</v>
      </c>
      <c r="B7" s="5" t="s">
        <v>31</v>
      </c>
      <c r="C7" s="6" t="s">
        <v>32</v>
      </c>
      <c r="D7" s="11" t="s">
        <v>36</v>
      </c>
      <c r="E7" s="5" t="s">
        <v>37</v>
      </c>
      <c r="F7" s="5" t="s">
        <v>38</v>
      </c>
      <c r="G7" s="12">
        <v>1.5</v>
      </c>
      <c r="H7" s="8">
        <v>3</v>
      </c>
      <c r="I7" s="9" t="s">
        <v>16</v>
      </c>
      <c r="J7" s="5"/>
      <c r="K7" s="10" t="n">
        <f aca="false">+G7+H7</f>
        <v>4.5</v>
      </c>
    </row>
    <row r="8" s="18" customFormat="true" ht="14.25" hidden="false" customHeight="false" outlineLevel="0" collapsed="false">
      <c r="A8" s="11" t="s">
        <v>39</v>
      </c>
      <c r="B8" s="11" t="s">
        <v>40</v>
      </c>
      <c r="C8" s="13">
        <v>83</v>
      </c>
      <c r="D8" s="11" t="s">
        <v>41</v>
      </c>
      <c r="E8" s="11" t="s">
        <v>42</v>
      </c>
      <c r="F8" s="11" t="s">
        <v>43</v>
      </c>
      <c r="G8" s="14">
        <v>1.62</v>
      </c>
      <c r="H8" s="15">
        <v>1.15</v>
      </c>
      <c r="I8" s="16" t="s">
        <v>16</v>
      </c>
      <c r="J8" s="11"/>
      <c r="K8" s="17" t="n">
        <f aca="false">+G8+H8</f>
        <v>2.77</v>
      </c>
    </row>
    <row r="9" customFormat="false" ht="14.25" hidden="false" customHeight="false" outlineLevel="0" collapsed="false">
      <c r="A9" s="5" t="s">
        <v>11</v>
      </c>
      <c r="B9" s="5" t="s">
        <v>12</v>
      </c>
      <c r="C9" s="6">
        <v>13</v>
      </c>
      <c r="D9" s="7" t="s">
        <v>44</v>
      </c>
      <c r="E9" s="5" t="s">
        <v>45</v>
      </c>
      <c r="F9" s="5" t="s">
        <v>46</v>
      </c>
      <c r="G9" s="8">
        <v>1.62</v>
      </c>
      <c r="H9" s="8">
        <v>3.4</v>
      </c>
      <c r="I9" s="9" t="s">
        <v>16</v>
      </c>
      <c r="J9" s="5"/>
      <c r="K9" s="10" t="n">
        <f aca="false">+G9+H9</f>
        <v>5.02</v>
      </c>
    </row>
    <row r="10" customFormat="false" ht="14.25" hidden="false" customHeight="false" outlineLevel="0" collapsed="false">
      <c r="A10" s="5" t="s">
        <v>11</v>
      </c>
      <c r="B10" s="5" t="s">
        <v>27</v>
      </c>
      <c r="C10" s="6">
        <v>13</v>
      </c>
      <c r="D10" s="7" t="s">
        <v>47</v>
      </c>
      <c r="E10" s="5" t="s">
        <v>48</v>
      </c>
      <c r="F10" s="5" t="s">
        <v>49</v>
      </c>
      <c r="G10" s="8">
        <v>1.62</v>
      </c>
      <c r="H10" s="8">
        <v>3.4</v>
      </c>
      <c r="I10" s="9" t="s">
        <v>16</v>
      </c>
      <c r="J10" s="9"/>
      <c r="K10" s="10" t="n">
        <f aca="false">+G10+H10</f>
        <v>5.02</v>
      </c>
    </row>
    <row r="11" customFormat="false" ht="14.25" hidden="false" customHeight="false" outlineLevel="0" collapsed="false">
      <c r="A11" s="5" t="s">
        <v>50</v>
      </c>
      <c r="B11" s="5" t="s">
        <v>51</v>
      </c>
      <c r="C11" s="6" t="s">
        <v>32</v>
      </c>
      <c r="D11" s="11" t="s">
        <v>52</v>
      </c>
      <c r="E11" s="5" t="s">
        <v>53</v>
      </c>
      <c r="F11" s="5" t="s">
        <v>54</v>
      </c>
      <c r="G11" s="12"/>
      <c r="H11" s="8">
        <v>3</v>
      </c>
      <c r="I11" s="5"/>
      <c r="J11" s="9" t="s">
        <v>16</v>
      </c>
      <c r="K11" s="10" t="n">
        <f aca="false">+H11</f>
        <v>3</v>
      </c>
    </row>
    <row r="12" customFormat="false" ht="14.25" hidden="false" customHeight="false" outlineLevel="0" collapsed="false">
      <c r="A12" s="5" t="s">
        <v>50</v>
      </c>
      <c r="B12" s="5" t="s">
        <v>55</v>
      </c>
      <c r="C12" s="6">
        <v>13</v>
      </c>
      <c r="D12" s="7" t="s">
        <v>56</v>
      </c>
      <c r="E12" s="5" t="s">
        <v>57</v>
      </c>
      <c r="F12" s="5" t="s">
        <v>58</v>
      </c>
      <c r="G12" s="8">
        <v>1.62</v>
      </c>
      <c r="H12" s="8">
        <v>3.4</v>
      </c>
      <c r="I12" s="9" t="s">
        <v>16</v>
      </c>
      <c r="J12" s="9"/>
      <c r="K12" s="10" t="n">
        <f aca="false">+G12+H12</f>
        <v>5.02</v>
      </c>
    </row>
    <row r="13" customFormat="false" ht="14.25" hidden="false" customHeight="false" outlineLevel="0" collapsed="false">
      <c r="A13" s="5" t="s">
        <v>59</v>
      </c>
      <c r="B13" s="5" t="s">
        <v>60</v>
      </c>
      <c r="C13" s="6">
        <v>34</v>
      </c>
      <c r="D13" s="11" t="s">
        <v>61</v>
      </c>
      <c r="E13" s="5" t="s">
        <v>62</v>
      </c>
      <c r="F13" s="5" t="s">
        <v>63</v>
      </c>
      <c r="G13" s="8">
        <v>1.62</v>
      </c>
      <c r="H13" s="8">
        <v>8.85</v>
      </c>
      <c r="I13" s="9" t="s">
        <v>16</v>
      </c>
      <c r="J13" s="5"/>
      <c r="K13" s="10" t="n">
        <f aca="false">+G13+H13</f>
        <v>10.47</v>
      </c>
    </row>
    <row r="14" customFormat="false" ht="14.25" hidden="false" customHeight="false" outlineLevel="0" collapsed="false">
      <c r="A14" s="5" t="s">
        <v>11</v>
      </c>
      <c r="B14" s="5" t="s">
        <v>27</v>
      </c>
      <c r="C14" s="6">
        <v>13</v>
      </c>
      <c r="D14" s="7" t="s">
        <v>64</v>
      </c>
      <c r="E14" s="5" t="s">
        <v>65</v>
      </c>
      <c r="F14" s="5" t="s">
        <v>66</v>
      </c>
      <c r="G14" s="8">
        <v>1.62</v>
      </c>
      <c r="H14" s="8">
        <v>3.4</v>
      </c>
      <c r="I14" s="9" t="s">
        <v>16</v>
      </c>
      <c r="J14" s="5"/>
      <c r="K14" s="10" t="n">
        <f aca="false">+G14+H14</f>
        <v>5.02</v>
      </c>
    </row>
    <row r="15" customFormat="false" ht="14.25" hidden="false" customHeight="false" outlineLevel="0" collapsed="false">
      <c r="A15" s="5" t="s">
        <v>67</v>
      </c>
      <c r="B15" s="5" t="s">
        <v>67</v>
      </c>
      <c r="C15" s="6">
        <v>34</v>
      </c>
      <c r="D15" s="11" t="s">
        <v>68</v>
      </c>
      <c r="E15" s="5" t="s">
        <v>69</v>
      </c>
      <c r="F15" s="5" t="s">
        <v>70</v>
      </c>
      <c r="G15" s="8"/>
      <c r="H15" s="8">
        <v>8.85</v>
      </c>
      <c r="I15" s="5"/>
      <c r="J15" s="9" t="s">
        <v>16</v>
      </c>
      <c r="K15" s="10" t="n">
        <f aca="false">+H15</f>
        <v>8.85</v>
      </c>
    </row>
    <row r="16" customFormat="false" ht="14.25" hidden="false" customHeight="false" outlineLevel="0" collapsed="false">
      <c r="A16" s="5" t="s">
        <v>11</v>
      </c>
      <c r="B16" s="5" t="s">
        <v>71</v>
      </c>
      <c r="C16" s="6">
        <v>34</v>
      </c>
      <c r="D16" s="11" t="s">
        <v>72</v>
      </c>
      <c r="E16" s="5" t="s">
        <v>73</v>
      </c>
      <c r="F16" s="5" t="s">
        <v>74</v>
      </c>
      <c r="G16" s="8">
        <v>1.62</v>
      </c>
      <c r="H16" s="8">
        <v>8.85</v>
      </c>
      <c r="I16" s="9" t="s">
        <v>16</v>
      </c>
      <c r="J16" s="5"/>
      <c r="K16" s="10" t="n">
        <f aca="false">+G16+H16</f>
        <v>10.47</v>
      </c>
    </row>
    <row r="17" customFormat="false" ht="14.25" hidden="false" customHeight="false" outlineLevel="0" collapsed="false">
      <c r="A17" s="5" t="s">
        <v>67</v>
      </c>
      <c r="B17" s="5" t="s">
        <v>67</v>
      </c>
      <c r="C17" s="6">
        <v>34</v>
      </c>
      <c r="D17" s="11" t="s">
        <v>75</v>
      </c>
      <c r="E17" s="5" t="s">
        <v>76</v>
      </c>
      <c r="F17" s="5" t="s">
        <v>77</v>
      </c>
      <c r="G17" s="8">
        <v>1.62</v>
      </c>
      <c r="H17" s="8">
        <v>8.85</v>
      </c>
      <c r="I17" s="9" t="s">
        <v>16</v>
      </c>
      <c r="J17" s="5"/>
      <c r="K17" s="10" t="n">
        <f aca="false">+G17+H17</f>
        <v>10.47</v>
      </c>
    </row>
    <row r="18" customFormat="false" ht="14.25" hidden="false" customHeight="false" outlineLevel="0" collapsed="false">
      <c r="A18" s="5" t="s">
        <v>67</v>
      </c>
      <c r="B18" s="5" t="s">
        <v>67</v>
      </c>
      <c r="C18" s="6">
        <v>34</v>
      </c>
      <c r="D18" s="11" t="s">
        <v>78</v>
      </c>
      <c r="E18" s="5" t="s">
        <v>79</v>
      </c>
      <c r="F18" s="5" t="s">
        <v>80</v>
      </c>
      <c r="G18" s="8"/>
      <c r="H18" s="8">
        <v>8.85</v>
      </c>
      <c r="I18" s="5"/>
      <c r="J18" s="9" t="s">
        <v>16</v>
      </c>
      <c r="K18" s="10" t="n">
        <f aca="false">+H18</f>
        <v>8.85</v>
      </c>
    </row>
    <row r="19" customFormat="false" ht="14.25" hidden="false" customHeight="false" outlineLevel="0" collapsed="false">
      <c r="A19" s="5" t="s">
        <v>59</v>
      </c>
      <c r="B19" s="5" t="s">
        <v>60</v>
      </c>
      <c r="C19" s="6">
        <v>34</v>
      </c>
      <c r="D19" s="11" t="s">
        <v>81</v>
      </c>
      <c r="E19" s="5" t="s">
        <v>82</v>
      </c>
      <c r="F19" s="5" t="s">
        <v>83</v>
      </c>
      <c r="G19" s="8"/>
      <c r="H19" s="8">
        <v>8.85</v>
      </c>
      <c r="I19" s="5"/>
      <c r="J19" s="9" t="s">
        <v>16</v>
      </c>
      <c r="K19" s="10" t="n">
        <f aca="false">+H19</f>
        <v>8.85</v>
      </c>
    </row>
    <row r="20" customFormat="false" ht="14.25" hidden="false" customHeight="false" outlineLevel="0" collapsed="false">
      <c r="A20" s="5" t="s">
        <v>11</v>
      </c>
      <c r="B20" s="5" t="s">
        <v>17</v>
      </c>
      <c r="C20" s="6" t="s">
        <v>18</v>
      </c>
      <c r="D20" s="11" t="s">
        <v>84</v>
      </c>
      <c r="E20" s="5" t="s">
        <v>85</v>
      </c>
      <c r="F20" s="5" t="s">
        <v>86</v>
      </c>
      <c r="G20" s="12">
        <v>1.5</v>
      </c>
      <c r="H20" s="8">
        <v>3.74</v>
      </c>
      <c r="I20" s="9" t="s">
        <v>16</v>
      </c>
      <c r="J20" s="5"/>
      <c r="K20" s="10" t="n">
        <f aca="false">+G20+H20</f>
        <v>5.24</v>
      </c>
    </row>
    <row r="21" customFormat="false" ht="14.25" hidden="false" customHeight="false" outlineLevel="0" collapsed="false">
      <c r="A21" s="5" t="s">
        <v>67</v>
      </c>
      <c r="B21" s="5" t="s">
        <v>67</v>
      </c>
      <c r="C21" s="6">
        <v>34</v>
      </c>
      <c r="D21" s="11" t="s">
        <v>87</v>
      </c>
      <c r="E21" s="5" t="s">
        <v>88</v>
      </c>
      <c r="F21" s="5" t="s">
        <v>70</v>
      </c>
      <c r="G21" s="8">
        <v>1.62</v>
      </c>
      <c r="H21" s="8">
        <v>8.85</v>
      </c>
      <c r="I21" s="9" t="s">
        <v>16</v>
      </c>
      <c r="J21" s="5"/>
      <c r="K21" s="10" t="n">
        <f aca="false">+G21+H21</f>
        <v>10.47</v>
      </c>
    </row>
    <row r="22" customFormat="false" ht="14.25" hidden="false" customHeight="false" outlineLevel="0" collapsed="false">
      <c r="A22" s="5" t="s">
        <v>39</v>
      </c>
      <c r="B22" s="5" t="s">
        <v>40</v>
      </c>
      <c r="C22" s="6">
        <v>83</v>
      </c>
      <c r="D22" s="5" t="s">
        <v>89</v>
      </c>
      <c r="E22" s="5" t="s">
        <v>90</v>
      </c>
      <c r="F22" s="5" t="s">
        <v>77</v>
      </c>
      <c r="G22" s="14">
        <v>1.62</v>
      </c>
      <c r="H22" s="15">
        <v>1.15</v>
      </c>
      <c r="I22" s="16" t="s">
        <v>16</v>
      </c>
      <c r="J22" s="5"/>
      <c r="K22" s="17" t="n">
        <f aca="false">+G22+H22</f>
        <v>2.77</v>
      </c>
    </row>
    <row r="23" customFormat="false" ht="14.25" hidden="false" customHeight="false" outlineLevel="0" collapsed="false">
      <c r="A23" s="5" t="s">
        <v>39</v>
      </c>
      <c r="B23" s="5" t="s">
        <v>91</v>
      </c>
      <c r="C23" s="6" t="s">
        <v>32</v>
      </c>
      <c r="D23" s="11" t="s">
        <v>92</v>
      </c>
      <c r="E23" s="5" t="s">
        <v>93</v>
      </c>
      <c r="F23" s="5" t="s">
        <v>94</v>
      </c>
      <c r="G23" s="12">
        <v>1.5</v>
      </c>
      <c r="H23" s="8">
        <v>3</v>
      </c>
      <c r="I23" s="16" t="s">
        <v>16</v>
      </c>
      <c r="J23" s="9"/>
      <c r="K23" s="17" t="n">
        <f aca="false">+G23+H23</f>
        <v>4.5</v>
      </c>
    </row>
    <row r="24" customFormat="false" ht="14.25" hidden="false" customHeight="false" outlineLevel="0" collapsed="false">
      <c r="A24" s="5" t="s">
        <v>67</v>
      </c>
      <c r="B24" s="5" t="s">
        <v>95</v>
      </c>
      <c r="C24" s="6">
        <v>34</v>
      </c>
      <c r="D24" s="11" t="s">
        <v>96</v>
      </c>
      <c r="E24" s="5" t="s">
        <v>97</v>
      </c>
      <c r="F24" s="5"/>
      <c r="G24" s="8">
        <v>1.62</v>
      </c>
      <c r="H24" s="8">
        <v>8.85</v>
      </c>
      <c r="I24" s="9" t="s">
        <v>16</v>
      </c>
      <c r="J24" s="5"/>
      <c r="K24" s="10" t="n">
        <f aca="false">+G24+H24</f>
        <v>10.47</v>
      </c>
    </row>
    <row r="25" customFormat="false" ht="14.25" hidden="false" customHeight="false" outlineLevel="0" collapsed="false">
      <c r="A25" s="5" t="s">
        <v>50</v>
      </c>
      <c r="B25" s="5" t="s">
        <v>50</v>
      </c>
      <c r="C25" s="6">
        <v>13</v>
      </c>
      <c r="D25" s="7" t="s">
        <v>98</v>
      </c>
      <c r="E25" s="5" t="s">
        <v>99</v>
      </c>
      <c r="F25" s="5" t="s">
        <v>70</v>
      </c>
      <c r="G25" s="8">
        <v>1.62</v>
      </c>
      <c r="H25" s="8">
        <v>3.4</v>
      </c>
      <c r="I25" s="9" t="s">
        <v>16</v>
      </c>
      <c r="J25" s="5"/>
      <c r="K25" s="10" t="n">
        <f aca="false">+G25+H25</f>
        <v>5.02</v>
      </c>
    </row>
    <row r="26" customFormat="false" ht="14.25" hidden="false" customHeight="false" outlineLevel="0" collapsed="false">
      <c r="A26" s="5" t="s">
        <v>50</v>
      </c>
      <c r="B26" s="5" t="s">
        <v>55</v>
      </c>
      <c r="C26" s="6">
        <v>13</v>
      </c>
      <c r="D26" s="7" t="s">
        <v>100</v>
      </c>
      <c r="E26" s="5" t="s">
        <v>37</v>
      </c>
      <c r="F26" s="5" t="s">
        <v>101</v>
      </c>
      <c r="G26" s="8"/>
      <c r="H26" s="8">
        <v>3.4</v>
      </c>
      <c r="I26" s="9"/>
      <c r="J26" s="9" t="s">
        <v>16</v>
      </c>
      <c r="K26" s="10" t="n">
        <f aca="false">+H26</f>
        <v>3.4</v>
      </c>
    </row>
    <row r="27" customFormat="false" ht="14.25" hidden="false" customHeight="false" outlineLevel="0" collapsed="false">
      <c r="A27" s="5" t="s">
        <v>11</v>
      </c>
      <c r="B27" s="5" t="s">
        <v>12</v>
      </c>
      <c r="C27" s="6">
        <v>13</v>
      </c>
      <c r="D27" s="7" t="s">
        <v>102</v>
      </c>
      <c r="E27" s="5" t="s">
        <v>103</v>
      </c>
      <c r="F27" s="5" t="s">
        <v>104</v>
      </c>
      <c r="G27" s="8"/>
      <c r="H27" s="8">
        <v>3.4</v>
      </c>
      <c r="I27" s="9"/>
      <c r="J27" s="9" t="s">
        <v>16</v>
      </c>
      <c r="K27" s="10" t="n">
        <f aca="false">+H27</f>
        <v>3.4</v>
      </c>
    </row>
    <row r="28" customFormat="false" ht="14.25" hidden="false" customHeight="false" outlineLevel="0" collapsed="false">
      <c r="A28" s="5" t="s">
        <v>11</v>
      </c>
      <c r="B28" s="5" t="s">
        <v>105</v>
      </c>
      <c r="C28" s="6" t="s">
        <v>32</v>
      </c>
      <c r="D28" s="11" t="s">
        <v>106</v>
      </c>
      <c r="E28" s="5" t="s">
        <v>107</v>
      </c>
      <c r="F28" s="5" t="s">
        <v>108</v>
      </c>
      <c r="G28" s="12">
        <v>1.5</v>
      </c>
      <c r="H28" s="8">
        <v>3</v>
      </c>
      <c r="I28" s="9" t="s">
        <v>16</v>
      </c>
      <c r="J28" s="5"/>
      <c r="K28" s="10" t="n">
        <f aca="false">+G28+H28</f>
        <v>4.5</v>
      </c>
    </row>
    <row r="29" customFormat="false" ht="14.25" hidden="false" customHeight="false" outlineLevel="0" collapsed="false">
      <c r="A29" s="5" t="s">
        <v>67</v>
      </c>
      <c r="B29" s="5" t="s">
        <v>67</v>
      </c>
      <c r="C29" s="6">
        <v>34</v>
      </c>
      <c r="D29" s="5" t="s">
        <v>109</v>
      </c>
      <c r="E29" s="5" t="s">
        <v>110</v>
      </c>
      <c r="F29" s="5" t="s">
        <v>70</v>
      </c>
      <c r="G29" s="8"/>
      <c r="H29" s="8">
        <v>8.85</v>
      </c>
      <c r="I29" s="5"/>
      <c r="J29" s="9" t="s">
        <v>16</v>
      </c>
      <c r="K29" s="10" t="n">
        <f aca="false">+H29</f>
        <v>8.85</v>
      </c>
    </row>
    <row r="30" customFormat="false" ht="14.25" hidden="false" customHeight="false" outlineLevel="0" collapsed="false">
      <c r="A30" s="5" t="s">
        <v>59</v>
      </c>
      <c r="B30" s="5" t="s">
        <v>60</v>
      </c>
      <c r="C30" s="6">
        <v>34</v>
      </c>
      <c r="D30" s="11" t="s">
        <v>111</v>
      </c>
      <c r="E30" s="5" t="s">
        <v>112</v>
      </c>
      <c r="F30" s="5" t="s">
        <v>113</v>
      </c>
      <c r="G30" s="8">
        <v>1.62</v>
      </c>
      <c r="H30" s="8">
        <v>8.85</v>
      </c>
      <c r="I30" s="9" t="s">
        <v>16</v>
      </c>
      <c r="J30" s="5"/>
      <c r="K30" s="10" t="n">
        <f aca="false">+G30+H30</f>
        <v>10.47</v>
      </c>
    </row>
    <row r="31" customFormat="false" ht="14.25" hidden="false" customHeight="false" outlineLevel="0" collapsed="false">
      <c r="A31" s="5" t="s">
        <v>67</v>
      </c>
      <c r="B31" s="5" t="s">
        <v>67</v>
      </c>
      <c r="C31" s="6">
        <v>34</v>
      </c>
      <c r="D31" s="5" t="s">
        <v>114</v>
      </c>
      <c r="E31" s="5" t="s">
        <v>115</v>
      </c>
      <c r="F31" s="5" t="s">
        <v>116</v>
      </c>
      <c r="G31" s="8"/>
      <c r="H31" s="8">
        <v>8.85</v>
      </c>
      <c r="I31" s="5"/>
      <c r="J31" s="9" t="s">
        <v>16</v>
      </c>
      <c r="K31" s="10" t="n">
        <f aca="false">+H31</f>
        <v>8.85</v>
      </c>
    </row>
    <row r="32" customFormat="false" ht="14.25" hidden="false" customHeight="false" outlineLevel="0" collapsed="false">
      <c r="A32" s="5" t="s">
        <v>39</v>
      </c>
      <c r="B32" s="5" t="s">
        <v>40</v>
      </c>
      <c r="C32" s="6">
        <v>83</v>
      </c>
      <c r="D32" s="5" t="s">
        <v>117</v>
      </c>
      <c r="E32" s="5" t="s">
        <v>118</v>
      </c>
      <c r="F32" s="5" t="s">
        <v>119</v>
      </c>
      <c r="G32" s="8">
        <v>1.62</v>
      </c>
      <c r="H32" s="15">
        <v>1.15</v>
      </c>
      <c r="I32" s="9" t="s">
        <v>16</v>
      </c>
      <c r="J32" s="9"/>
      <c r="K32" s="10" t="n">
        <f aca="false">+G32+H32</f>
        <v>2.77</v>
      </c>
    </row>
    <row r="33" customFormat="false" ht="14.25" hidden="false" customHeight="false" outlineLevel="0" collapsed="false">
      <c r="A33" s="5" t="s">
        <v>11</v>
      </c>
      <c r="B33" s="5" t="s">
        <v>17</v>
      </c>
      <c r="C33" s="6" t="s">
        <v>18</v>
      </c>
      <c r="D33" s="11" t="s">
        <v>120</v>
      </c>
      <c r="E33" s="5" t="s">
        <v>121</v>
      </c>
      <c r="F33" s="5" t="s">
        <v>122</v>
      </c>
      <c r="G33" s="12">
        <v>1.5</v>
      </c>
      <c r="H33" s="8">
        <v>3.74</v>
      </c>
      <c r="I33" s="9" t="s">
        <v>16</v>
      </c>
      <c r="J33" s="5"/>
      <c r="K33" s="10" t="n">
        <f aca="false">+G33+H33</f>
        <v>5.24</v>
      </c>
    </row>
    <row r="34" customFormat="false" ht="14.25" hidden="false" customHeight="false" outlineLevel="0" collapsed="false">
      <c r="A34" s="5" t="s">
        <v>11</v>
      </c>
      <c r="B34" s="5" t="s">
        <v>17</v>
      </c>
      <c r="C34" s="6" t="s">
        <v>18</v>
      </c>
      <c r="D34" s="11" t="s">
        <v>123</v>
      </c>
      <c r="E34" s="5" t="s">
        <v>124</v>
      </c>
      <c r="F34" s="5" t="s">
        <v>125</v>
      </c>
      <c r="G34" s="12">
        <v>1.5</v>
      </c>
      <c r="H34" s="8">
        <v>3.74</v>
      </c>
      <c r="I34" s="9" t="s">
        <v>16</v>
      </c>
      <c r="J34" s="5"/>
      <c r="K34" s="10" t="n">
        <f aca="false">+G34+H34</f>
        <v>5.24</v>
      </c>
    </row>
    <row r="35" customFormat="false" ht="14.25" hidden="false" customHeight="false" outlineLevel="0" collapsed="false">
      <c r="A35" s="5" t="s">
        <v>126</v>
      </c>
      <c r="B35" s="5" t="s">
        <v>126</v>
      </c>
      <c r="C35" s="6" t="s">
        <v>32</v>
      </c>
      <c r="D35" s="11" t="s">
        <v>127</v>
      </c>
      <c r="E35" s="5" t="s">
        <v>128</v>
      </c>
      <c r="F35" s="5" t="s">
        <v>129</v>
      </c>
      <c r="G35" s="12">
        <v>1.5</v>
      </c>
      <c r="H35" s="8">
        <v>3</v>
      </c>
      <c r="I35" s="9" t="s">
        <v>16</v>
      </c>
      <c r="J35" s="5"/>
      <c r="K35" s="10" t="n">
        <f aca="false">+G35+H35</f>
        <v>4.5</v>
      </c>
    </row>
    <row r="36" customFormat="false" ht="14.25" hidden="false" customHeight="false" outlineLevel="0" collapsed="false">
      <c r="A36" s="5" t="s">
        <v>50</v>
      </c>
      <c r="B36" s="5" t="s">
        <v>130</v>
      </c>
      <c r="C36" s="6" t="s">
        <v>18</v>
      </c>
      <c r="D36" s="5" t="s">
        <v>131</v>
      </c>
      <c r="E36" s="5" t="s">
        <v>132</v>
      </c>
      <c r="F36" s="5" t="s">
        <v>70</v>
      </c>
      <c r="G36" s="12">
        <v>1.5</v>
      </c>
      <c r="H36" s="8">
        <v>3.74</v>
      </c>
      <c r="I36" s="9" t="s">
        <v>16</v>
      </c>
      <c r="J36" s="5"/>
      <c r="K36" s="10" t="n">
        <f aca="false">+G36+H36</f>
        <v>5.24</v>
      </c>
    </row>
    <row r="37" customFormat="false" ht="14.25" hidden="false" customHeight="false" outlineLevel="0" collapsed="false">
      <c r="A37" s="5" t="s">
        <v>11</v>
      </c>
      <c r="B37" s="5" t="s">
        <v>105</v>
      </c>
      <c r="C37" s="6" t="s">
        <v>32</v>
      </c>
      <c r="D37" s="11" t="s">
        <v>133</v>
      </c>
      <c r="E37" s="5" t="s">
        <v>134</v>
      </c>
      <c r="F37" s="5" t="s">
        <v>135</v>
      </c>
      <c r="G37" s="12">
        <v>1.5</v>
      </c>
      <c r="H37" s="8">
        <v>3</v>
      </c>
      <c r="I37" s="9" t="s">
        <v>16</v>
      </c>
      <c r="J37" s="5"/>
      <c r="K37" s="10" t="n">
        <f aca="false">+G37+H37</f>
        <v>4.5</v>
      </c>
    </row>
    <row r="38" customFormat="false" ht="14.25" hidden="false" customHeight="false" outlineLevel="0" collapsed="false">
      <c r="A38" s="5" t="s">
        <v>50</v>
      </c>
      <c r="B38" s="5" t="s">
        <v>51</v>
      </c>
      <c r="C38" s="6" t="s">
        <v>32</v>
      </c>
      <c r="D38" s="11" t="s">
        <v>136</v>
      </c>
      <c r="E38" s="5" t="s">
        <v>137</v>
      </c>
      <c r="F38" s="5" t="s">
        <v>138</v>
      </c>
      <c r="G38" s="12">
        <v>1.5</v>
      </c>
      <c r="H38" s="8">
        <v>3</v>
      </c>
      <c r="I38" s="9" t="s">
        <v>16</v>
      </c>
      <c r="J38" s="5"/>
      <c r="K38" s="10" t="n">
        <f aca="false">+G38+H38</f>
        <v>4.5</v>
      </c>
    </row>
    <row r="39" customFormat="false" ht="14.25" hidden="false" customHeight="false" outlineLevel="0" collapsed="false">
      <c r="A39" s="5" t="s">
        <v>11</v>
      </c>
      <c r="B39" s="5" t="s">
        <v>71</v>
      </c>
      <c r="C39" s="6">
        <v>34</v>
      </c>
      <c r="D39" s="11" t="s">
        <v>139</v>
      </c>
      <c r="E39" s="5" t="s">
        <v>118</v>
      </c>
      <c r="F39" s="5" t="s">
        <v>140</v>
      </c>
      <c r="G39" s="8">
        <v>1.62</v>
      </c>
      <c r="H39" s="8">
        <v>8.85</v>
      </c>
      <c r="I39" s="9" t="s">
        <v>16</v>
      </c>
      <c r="J39" s="5"/>
      <c r="K39" s="10" t="n">
        <f aca="false">+G39+H39</f>
        <v>10.47</v>
      </c>
    </row>
    <row r="40" customFormat="false" ht="14.25" hidden="false" customHeight="false" outlineLevel="0" collapsed="false">
      <c r="A40" s="5" t="s">
        <v>126</v>
      </c>
      <c r="B40" s="5" t="s">
        <v>141</v>
      </c>
      <c r="C40" s="6">
        <v>34</v>
      </c>
      <c r="D40" s="11" t="s">
        <v>142</v>
      </c>
      <c r="E40" s="5" t="s">
        <v>143</v>
      </c>
      <c r="F40" s="5" t="s">
        <v>144</v>
      </c>
      <c r="G40" s="8">
        <v>1.62</v>
      </c>
      <c r="H40" s="8">
        <v>8.85</v>
      </c>
      <c r="I40" s="9" t="s">
        <v>16</v>
      </c>
      <c r="J40" s="5"/>
      <c r="K40" s="10" t="n">
        <f aca="false">+G40+H40</f>
        <v>10.47</v>
      </c>
    </row>
    <row r="41" customFormat="false" ht="14.25" hidden="false" customHeight="false" outlineLevel="0" collapsed="false">
      <c r="A41" s="5" t="s">
        <v>39</v>
      </c>
      <c r="B41" s="5" t="s">
        <v>40</v>
      </c>
      <c r="C41" s="6">
        <v>83</v>
      </c>
      <c r="D41" s="5" t="s">
        <v>145</v>
      </c>
      <c r="E41" s="5" t="s">
        <v>146</v>
      </c>
      <c r="F41" s="5" t="s">
        <v>147</v>
      </c>
      <c r="G41" s="8">
        <v>1.62</v>
      </c>
      <c r="H41" s="15">
        <v>1.15</v>
      </c>
      <c r="I41" s="9" t="s">
        <v>16</v>
      </c>
      <c r="J41" s="5"/>
      <c r="K41" s="10" t="n">
        <f aca="false">+G41+H41</f>
        <v>2.77</v>
      </c>
    </row>
    <row r="42" customFormat="false" ht="14.25" hidden="false" customHeight="false" outlineLevel="0" collapsed="false">
      <c r="A42" s="5" t="s">
        <v>11</v>
      </c>
      <c r="B42" s="5" t="s">
        <v>31</v>
      </c>
      <c r="C42" s="6" t="s">
        <v>32</v>
      </c>
      <c r="D42" s="11" t="s">
        <v>148</v>
      </c>
      <c r="E42" s="5" t="s">
        <v>149</v>
      </c>
      <c r="F42" s="5" t="s">
        <v>150</v>
      </c>
      <c r="G42" s="12">
        <v>1.5</v>
      </c>
      <c r="H42" s="8">
        <v>3</v>
      </c>
      <c r="I42" s="9" t="s">
        <v>16</v>
      </c>
      <c r="J42" s="5"/>
      <c r="K42" s="10" t="n">
        <f aca="false">+G42+H42</f>
        <v>4.5</v>
      </c>
    </row>
    <row r="43" customFormat="false" ht="14.25" hidden="false" customHeight="false" outlineLevel="0" collapsed="false">
      <c r="A43" s="5" t="s">
        <v>11</v>
      </c>
      <c r="B43" s="5" t="s">
        <v>71</v>
      </c>
      <c r="C43" s="6">
        <v>34</v>
      </c>
      <c r="D43" s="11" t="s">
        <v>151</v>
      </c>
      <c r="E43" s="5" t="s">
        <v>152</v>
      </c>
      <c r="F43" s="5" t="s">
        <v>153</v>
      </c>
      <c r="G43" s="8">
        <v>1.62</v>
      </c>
      <c r="H43" s="8">
        <v>8.85</v>
      </c>
      <c r="I43" s="9" t="s">
        <v>16</v>
      </c>
      <c r="J43" s="5"/>
      <c r="K43" s="10" t="n">
        <f aca="false">+G43+H43</f>
        <v>10.47</v>
      </c>
    </row>
    <row r="44" customFormat="false" ht="14.25" hidden="false" customHeight="false" outlineLevel="0" collapsed="false">
      <c r="A44" s="5" t="s">
        <v>50</v>
      </c>
      <c r="B44" s="5" t="s">
        <v>55</v>
      </c>
      <c r="C44" s="6">
        <v>13</v>
      </c>
      <c r="D44" s="7" t="s">
        <v>154</v>
      </c>
      <c r="E44" s="5" t="s">
        <v>128</v>
      </c>
      <c r="F44" s="5" t="s">
        <v>155</v>
      </c>
      <c r="G44" s="8">
        <v>1.62</v>
      </c>
      <c r="H44" s="8">
        <v>3.4</v>
      </c>
      <c r="I44" s="9" t="s">
        <v>16</v>
      </c>
      <c r="J44" s="5"/>
      <c r="K44" s="10" t="n">
        <f aca="false">+G44+H44</f>
        <v>5.02</v>
      </c>
    </row>
    <row r="45" customFormat="false" ht="14.25" hidden="false" customHeight="false" outlineLevel="0" collapsed="false">
      <c r="A45" s="5" t="s">
        <v>11</v>
      </c>
      <c r="B45" s="5" t="s">
        <v>11</v>
      </c>
      <c r="C45" s="6">
        <v>13</v>
      </c>
      <c r="D45" s="7" t="s">
        <v>156</v>
      </c>
      <c r="E45" s="5" t="s">
        <v>157</v>
      </c>
      <c r="F45" s="5" t="s">
        <v>158</v>
      </c>
      <c r="G45" s="8"/>
      <c r="H45" s="8">
        <v>3.4</v>
      </c>
      <c r="I45" s="9"/>
      <c r="J45" s="9" t="s">
        <v>16</v>
      </c>
      <c r="K45" s="10" t="n">
        <f aca="false">+H45</f>
        <v>3.4</v>
      </c>
    </row>
    <row r="46" customFormat="false" ht="14.25" hidden="false" customHeight="false" outlineLevel="0" collapsed="false">
      <c r="A46" s="5" t="s">
        <v>67</v>
      </c>
      <c r="B46" s="5" t="s">
        <v>67</v>
      </c>
      <c r="C46" s="6">
        <v>34</v>
      </c>
      <c r="D46" s="11" t="s">
        <v>159</v>
      </c>
      <c r="E46" s="5" t="s">
        <v>160</v>
      </c>
      <c r="F46" s="5" t="s">
        <v>70</v>
      </c>
      <c r="G46" s="8">
        <v>1.62</v>
      </c>
      <c r="H46" s="8">
        <v>8.85</v>
      </c>
      <c r="I46" s="9" t="s">
        <v>16</v>
      </c>
      <c r="J46" s="5"/>
      <c r="K46" s="10" t="n">
        <f aca="false">+G46+H46</f>
        <v>10.47</v>
      </c>
    </row>
    <row r="47" customFormat="false" ht="14.25" hidden="false" customHeight="false" outlineLevel="0" collapsed="false">
      <c r="A47" s="5" t="s">
        <v>67</v>
      </c>
      <c r="B47" s="5" t="s">
        <v>67</v>
      </c>
      <c r="C47" s="6">
        <v>34</v>
      </c>
      <c r="D47" s="11" t="s">
        <v>161</v>
      </c>
      <c r="E47" s="5" t="s">
        <v>162</v>
      </c>
      <c r="F47" s="5" t="s">
        <v>70</v>
      </c>
      <c r="G47" s="8"/>
      <c r="H47" s="8">
        <v>8.85</v>
      </c>
      <c r="I47" s="5"/>
      <c r="J47" s="9" t="s">
        <v>16</v>
      </c>
      <c r="K47" s="10" t="n">
        <f aca="false">+H47</f>
        <v>8.85</v>
      </c>
    </row>
    <row r="48" customFormat="false" ht="14.25" hidden="false" customHeight="false" outlineLevel="0" collapsed="false">
      <c r="A48" s="5" t="s">
        <v>50</v>
      </c>
      <c r="B48" s="5" t="s">
        <v>55</v>
      </c>
      <c r="C48" s="6">
        <v>13</v>
      </c>
      <c r="D48" s="7" t="s">
        <v>163</v>
      </c>
      <c r="E48" s="5" t="s">
        <v>164</v>
      </c>
      <c r="F48" s="5" t="s">
        <v>70</v>
      </c>
      <c r="G48" s="8"/>
      <c r="H48" s="8">
        <v>3.4</v>
      </c>
      <c r="I48" s="9"/>
      <c r="J48" s="9" t="s">
        <v>16</v>
      </c>
      <c r="K48" s="10" t="n">
        <f aca="false">+H48</f>
        <v>3.4</v>
      </c>
    </row>
    <row r="49" customFormat="false" ht="14.25" hidden="false" customHeight="false" outlineLevel="0" collapsed="false">
      <c r="A49" s="5" t="s">
        <v>67</v>
      </c>
      <c r="B49" s="5" t="s">
        <v>165</v>
      </c>
      <c r="C49" s="6">
        <v>11</v>
      </c>
      <c r="D49" s="5" t="s">
        <v>166</v>
      </c>
      <c r="E49" s="5" t="s">
        <v>167</v>
      </c>
      <c r="F49" s="5" t="s">
        <v>70</v>
      </c>
      <c r="G49" s="8"/>
      <c r="H49" s="8">
        <v>2.89</v>
      </c>
      <c r="I49" s="9"/>
      <c r="J49" s="9" t="s">
        <v>16</v>
      </c>
      <c r="K49" s="10" t="n">
        <f aca="false">+H49</f>
        <v>2.89</v>
      </c>
    </row>
    <row r="50" customFormat="false" ht="14.25" hidden="false" customHeight="false" outlineLevel="0" collapsed="false">
      <c r="A50" s="5" t="s">
        <v>11</v>
      </c>
      <c r="B50" s="5" t="s">
        <v>105</v>
      </c>
      <c r="C50" s="6" t="s">
        <v>32</v>
      </c>
      <c r="D50" s="11" t="s">
        <v>168</v>
      </c>
      <c r="E50" s="5" t="s">
        <v>169</v>
      </c>
      <c r="F50" s="5" t="s">
        <v>170</v>
      </c>
      <c r="G50" s="12"/>
      <c r="H50" s="8">
        <v>3</v>
      </c>
      <c r="I50" s="5"/>
      <c r="J50" s="9" t="s">
        <v>16</v>
      </c>
      <c r="K50" s="10" t="n">
        <f aca="false">+H50</f>
        <v>3</v>
      </c>
    </row>
    <row r="51" customFormat="false" ht="14.25" hidden="false" customHeight="false" outlineLevel="0" collapsed="false">
      <c r="A51" s="5" t="s">
        <v>39</v>
      </c>
      <c r="B51" s="5" t="s">
        <v>171</v>
      </c>
      <c r="C51" s="6" t="s">
        <v>32</v>
      </c>
      <c r="D51" s="11" t="s">
        <v>172</v>
      </c>
      <c r="E51" s="5" t="s">
        <v>173</v>
      </c>
      <c r="F51" s="5" t="s">
        <v>174</v>
      </c>
      <c r="G51" s="12"/>
      <c r="H51" s="8">
        <v>3</v>
      </c>
      <c r="I51" s="5"/>
      <c r="J51" s="9" t="s">
        <v>16</v>
      </c>
      <c r="K51" s="10" t="n">
        <f aca="false">+H51</f>
        <v>3</v>
      </c>
    </row>
    <row r="52" customFormat="false" ht="14.25" hidden="false" customHeight="false" outlineLevel="0" collapsed="false">
      <c r="A52" s="5" t="s">
        <v>67</v>
      </c>
      <c r="B52" s="5" t="s">
        <v>165</v>
      </c>
      <c r="C52" s="6">
        <v>11</v>
      </c>
      <c r="D52" s="5" t="s">
        <v>175</v>
      </c>
      <c r="E52" s="5" t="s">
        <v>176</v>
      </c>
      <c r="F52" s="5" t="s">
        <v>177</v>
      </c>
      <c r="G52" s="8">
        <v>1.62</v>
      </c>
      <c r="H52" s="8">
        <v>2.89</v>
      </c>
      <c r="I52" s="9" t="s">
        <v>16</v>
      </c>
      <c r="J52" s="5"/>
      <c r="K52" s="10" t="n">
        <f aca="false">+G52+H52</f>
        <v>4.51</v>
      </c>
    </row>
    <row r="53" customFormat="false" ht="14.25" hidden="false" customHeight="false" outlineLevel="0" collapsed="false">
      <c r="A53" s="5" t="s">
        <v>11</v>
      </c>
      <c r="B53" s="5" t="s">
        <v>71</v>
      </c>
      <c r="C53" s="6">
        <v>34</v>
      </c>
      <c r="D53" s="11" t="s">
        <v>178</v>
      </c>
      <c r="E53" s="5" t="s">
        <v>179</v>
      </c>
      <c r="F53" s="5" t="s">
        <v>180</v>
      </c>
      <c r="G53" s="8">
        <v>1.62</v>
      </c>
      <c r="H53" s="8">
        <v>8.85</v>
      </c>
      <c r="I53" s="9" t="s">
        <v>16</v>
      </c>
      <c r="J53" s="9"/>
      <c r="K53" s="10" t="n">
        <f aca="false">+G53+H53</f>
        <v>10.47</v>
      </c>
    </row>
    <row r="54" customFormat="false" ht="14.25" hidden="false" customHeight="false" outlineLevel="0" collapsed="false">
      <c r="A54" s="5" t="s">
        <v>126</v>
      </c>
      <c r="B54" s="5" t="s">
        <v>181</v>
      </c>
      <c r="C54" s="6" t="s">
        <v>18</v>
      </c>
      <c r="D54" s="5" t="s">
        <v>182</v>
      </c>
      <c r="E54" s="5" t="s">
        <v>110</v>
      </c>
      <c r="F54" s="5" t="s">
        <v>144</v>
      </c>
      <c r="G54" s="12"/>
      <c r="H54" s="8">
        <v>3.74</v>
      </c>
      <c r="I54" s="5"/>
      <c r="J54" s="9" t="s">
        <v>16</v>
      </c>
      <c r="K54" s="10" t="n">
        <f aca="false">+H54</f>
        <v>3.74</v>
      </c>
    </row>
    <row r="55" customFormat="false" ht="14.25" hidden="false" customHeight="false" outlineLevel="0" collapsed="false">
      <c r="A55" s="5" t="s">
        <v>11</v>
      </c>
      <c r="B55" s="5" t="s">
        <v>105</v>
      </c>
      <c r="C55" s="6" t="s">
        <v>32</v>
      </c>
      <c r="D55" s="11" t="s">
        <v>183</v>
      </c>
      <c r="E55" s="5" t="s">
        <v>184</v>
      </c>
      <c r="F55" s="5" t="s">
        <v>185</v>
      </c>
      <c r="G55" s="12">
        <v>1.5</v>
      </c>
      <c r="H55" s="8">
        <v>3</v>
      </c>
      <c r="I55" s="9" t="s">
        <v>16</v>
      </c>
      <c r="J55" s="5"/>
      <c r="K55" s="10" t="n">
        <f aca="false">+G55+H55</f>
        <v>4.5</v>
      </c>
    </row>
    <row r="56" customFormat="false" ht="14.25" hidden="false" customHeight="false" outlineLevel="0" collapsed="false">
      <c r="A56" s="5" t="s">
        <v>11</v>
      </c>
      <c r="B56" s="5" t="s">
        <v>27</v>
      </c>
      <c r="C56" s="6">
        <v>13</v>
      </c>
      <c r="D56" s="7" t="s">
        <v>186</v>
      </c>
      <c r="E56" s="5" t="s">
        <v>187</v>
      </c>
      <c r="F56" s="5" t="s">
        <v>188</v>
      </c>
      <c r="G56" s="8">
        <v>1.62</v>
      </c>
      <c r="H56" s="8">
        <v>3.4</v>
      </c>
      <c r="I56" s="9" t="s">
        <v>16</v>
      </c>
      <c r="J56" s="9"/>
      <c r="K56" s="10" t="n">
        <f aca="false">+G56+H56</f>
        <v>5.02</v>
      </c>
    </row>
    <row r="57" customFormat="false" ht="14.25" hidden="false" customHeight="false" outlineLevel="0" collapsed="false">
      <c r="A57" s="5" t="s">
        <v>11</v>
      </c>
      <c r="B57" s="5" t="s">
        <v>17</v>
      </c>
      <c r="C57" s="6" t="s">
        <v>18</v>
      </c>
      <c r="D57" s="11" t="s">
        <v>189</v>
      </c>
      <c r="E57" s="5" t="s">
        <v>190</v>
      </c>
      <c r="F57" s="5" t="s">
        <v>191</v>
      </c>
      <c r="G57" s="12">
        <v>1.5</v>
      </c>
      <c r="H57" s="8">
        <v>3.74</v>
      </c>
      <c r="I57" s="9" t="s">
        <v>16</v>
      </c>
      <c r="J57" s="5"/>
      <c r="K57" s="10" t="n">
        <f aca="false">+G57+H57</f>
        <v>5.24</v>
      </c>
    </row>
    <row r="58" customFormat="false" ht="14.25" hidden="false" customHeight="false" outlineLevel="0" collapsed="false">
      <c r="A58" s="5" t="s">
        <v>11</v>
      </c>
      <c r="B58" s="5" t="s">
        <v>27</v>
      </c>
      <c r="C58" s="6">
        <v>13</v>
      </c>
      <c r="D58" s="7" t="s">
        <v>192</v>
      </c>
      <c r="E58" s="5" t="s">
        <v>193</v>
      </c>
      <c r="F58" s="5" t="s">
        <v>194</v>
      </c>
      <c r="G58" s="8">
        <v>1.62</v>
      </c>
      <c r="H58" s="8">
        <v>3.4</v>
      </c>
      <c r="I58" s="9" t="s">
        <v>16</v>
      </c>
      <c r="J58" s="9"/>
      <c r="K58" s="10" t="n">
        <f aca="false">+G58+H58</f>
        <v>5.02</v>
      </c>
    </row>
    <row r="59" customFormat="false" ht="14.25" hidden="false" customHeight="false" outlineLevel="0" collapsed="false">
      <c r="A59" s="5" t="s">
        <v>11</v>
      </c>
      <c r="B59" s="5" t="s">
        <v>27</v>
      </c>
      <c r="C59" s="6">
        <v>13</v>
      </c>
      <c r="D59" s="7" t="s">
        <v>195</v>
      </c>
      <c r="E59" s="5" t="s">
        <v>196</v>
      </c>
      <c r="F59" s="5" t="s">
        <v>197</v>
      </c>
      <c r="G59" s="8">
        <v>1.62</v>
      </c>
      <c r="H59" s="8">
        <v>3.4</v>
      </c>
      <c r="I59" s="9" t="s">
        <v>16</v>
      </c>
      <c r="J59" s="5"/>
      <c r="K59" s="10" t="n">
        <f aca="false">+G59+H59</f>
        <v>5.02</v>
      </c>
    </row>
    <row r="60" customFormat="false" ht="14.25" hidden="false" customHeight="false" outlineLevel="0" collapsed="false">
      <c r="A60" s="5" t="s">
        <v>11</v>
      </c>
      <c r="B60" s="5" t="s">
        <v>27</v>
      </c>
      <c r="C60" s="6">
        <v>13</v>
      </c>
      <c r="D60" s="7" t="s">
        <v>198</v>
      </c>
      <c r="E60" s="5" t="s">
        <v>199</v>
      </c>
      <c r="F60" s="5" t="s">
        <v>200</v>
      </c>
      <c r="G60" s="8">
        <v>1.62</v>
      </c>
      <c r="H60" s="8">
        <v>3.4</v>
      </c>
      <c r="I60" s="9" t="s">
        <v>16</v>
      </c>
      <c r="J60" s="5"/>
      <c r="K60" s="10" t="n">
        <f aca="false">+G60+H60</f>
        <v>5.02</v>
      </c>
    </row>
    <row r="61" customFormat="false" ht="14.25" hidden="false" customHeight="false" outlineLevel="0" collapsed="false">
      <c r="A61" s="5" t="s">
        <v>11</v>
      </c>
      <c r="B61" s="5" t="s">
        <v>201</v>
      </c>
      <c r="C61" s="6" t="s">
        <v>32</v>
      </c>
      <c r="D61" s="11" t="s">
        <v>202</v>
      </c>
      <c r="E61" s="5" t="s">
        <v>203</v>
      </c>
      <c r="F61" s="5" t="s">
        <v>204</v>
      </c>
      <c r="G61" s="12">
        <v>1.5</v>
      </c>
      <c r="H61" s="8">
        <v>3</v>
      </c>
      <c r="I61" s="9" t="s">
        <v>16</v>
      </c>
      <c r="J61" s="9"/>
      <c r="K61" s="10" t="n">
        <f aca="false">+H61</f>
        <v>3</v>
      </c>
      <c r="L61" s="0" t="s">
        <v>205</v>
      </c>
    </row>
    <row r="62" customFormat="false" ht="14.25" hidden="false" customHeight="false" outlineLevel="0" collapsed="false">
      <c r="A62" s="5" t="s">
        <v>11</v>
      </c>
      <c r="B62" s="5" t="s">
        <v>17</v>
      </c>
      <c r="C62" s="6" t="s">
        <v>18</v>
      </c>
      <c r="D62" s="11" t="s">
        <v>206</v>
      </c>
      <c r="E62" s="5" t="s">
        <v>207</v>
      </c>
      <c r="F62" s="5" t="s">
        <v>208</v>
      </c>
      <c r="G62" s="12">
        <v>1.5</v>
      </c>
      <c r="H62" s="8">
        <v>3.74</v>
      </c>
      <c r="I62" s="9" t="s">
        <v>16</v>
      </c>
      <c r="J62" s="5"/>
      <c r="K62" s="10" t="n">
        <f aca="false">+G62+H62</f>
        <v>5.24</v>
      </c>
      <c r="L62" s="1" t="s">
        <v>209</v>
      </c>
    </row>
    <row r="63" customFormat="false" ht="14.25" hidden="false" customHeight="false" outlineLevel="0" collapsed="false">
      <c r="A63" s="5" t="s">
        <v>11</v>
      </c>
      <c r="B63" s="5" t="s">
        <v>210</v>
      </c>
      <c r="C63" s="6">
        <v>13</v>
      </c>
      <c r="D63" s="7" t="s">
        <v>211</v>
      </c>
      <c r="E63" s="5" t="s">
        <v>212</v>
      </c>
      <c r="F63" s="5" t="s">
        <v>77</v>
      </c>
      <c r="G63" s="8"/>
      <c r="H63" s="8">
        <v>3.4</v>
      </c>
      <c r="I63" s="5"/>
      <c r="J63" s="9" t="s">
        <v>16</v>
      </c>
      <c r="K63" s="10" t="n">
        <f aca="false">+H63</f>
        <v>3.4</v>
      </c>
    </row>
    <row r="64" customFormat="false" ht="14.25" hidden="false" customHeight="false" outlineLevel="0" collapsed="false">
      <c r="A64" s="5" t="s">
        <v>11</v>
      </c>
      <c r="B64" s="5" t="s">
        <v>71</v>
      </c>
      <c r="C64" s="6">
        <v>34</v>
      </c>
      <c r="D64" s="11" t="s">
        <v>213</v>
      </c>
      <c r="E64" s="5" t="s">
        <v>214</v>
      </c>
      <c r="F64" s="5" t="s">
        <v>35</v>
      </c>
      <c r="G64" s="8">
        <v>1.62</v>
      </c>
      <c r="H64" s="8">
        <v>8.85</v>
      </c>
      <c r="I64" s="9" t="s">
        <v>16</v>
      </c>
      <c r="J64" s="5"/>
      <c r="K64" s="10" t="n">
        <f aca="false">+G64+H64</f>
        <v>10.47</v>
      </c>
    </row>
    <row r="65" customFormat="false" ht="14.25" hidden="false" customHeight="false" outlineLevel="0" collapsed="false">
      <c r="A65" s="5" t="s">
        <v>11</v>
      </c>
      <c r="B65" s="5" t="s">
        <v>27</v>
      </c>
      <c r="C65" s="6">
        <v>13</v>
      </c>
      <c r="D65" s="7" t="s">
        <v>215</v>
      </c>
      <c r="E65" s="5" t="s">
        <v>216</v>
      </c>
      <c r="F65" s="5" t="s">
        <v>217</v>
      </c>
      <c r="G65" s="8">
        <v>1.62</v>
      </c>
      <c r="H65" s="8">
        <v>3.4</v>
      </c>
      <c r="I65" s="9" t="s">
        <v>16</v>
      </c>
      <c r="J65" s="9"/>
      <c r="K65" s="10" t="n">
        <f aca="false">+G65+H65</f>
        <v>5.02</v>
      </c>
    </row>
    <row r="66" customFormat="false" ht="14.25" hidden="false" customHeight="false" outlineLevel="0" collapsed="false">
      <c r="A66" s="5" t="s">
        <v>50</v>
      </c>
      <c r="B66" s="5" t="s">
        <v>55</v>
      </c>
      <c r="C66" s="6">
        <v>13</v>
      </c>
      <c r="D66" s="7" t="s">
        <v>218</v>
      </c>
      <c r="E66" s="5" t="s">
        <v>219</v>
      </c>
      <c r="F66" s="5" t="s">
        <v>70</v>
      </c>
      <c r="G66" s="8"/>
      <c r="H66" s="8">
        <v>3.4</v>
      </c>
      <c r="I66" s="5"/>
      <c r="J66" s="9" t="s">
        <v>16</v>
      </c>
      <c r="K66" s="10" t="n">
        <f aca="false">+H66</f>
        <v>3.4</v>
      </c>
    </row>
    <row r="67" customFormat="false" ht="14.25" hidden="false" customHeight="false" outlineLevel="0" collapsed="false">
      <c r="A67" s="5" t="s">
        <v>11</v>
      </c>
      <c r="B67" s="5" t="s">
        <v>17</v>
      </c>
      <c r="C67" s="6" t="s">
        <v>18</v>
      </c>
      <c r="D67" s="11" t="s">
        <v>220</v>
      </c>
      <c r="E67" s="5" t="s">
        <v>173</v>
      </c>
      <c r="F67" s="5" t="s">
        <v>221</v>
      </c>
      <c r="G67" s="12"/>
      <c r="H67" s="8">
        <v>3.74</v>
      </c>
      <c r="I67" s="9"/>
      <c r="J67" s="9" t="s">
        <v>16</v>
      </c>
      <c r="K67" s="10" t="n">
        <f aca="false">+H67</f>
        <v>3.74</v>
      </c>
    </row>
    <row r="68" customFormat="false" ht="14.25" hidden="false" customHeight="false" outlineLevel="0" collapsed="false">
      <c r="A68" s="5" t="s">
        <v>11</v>
      </c>
      <c r="B68" s="5" t="s">
        <v>27</v>
      </c>
      <c r="C68" s="6">
        <v>13</v>
      </c>
      <c r="D68" s="7" t="s">
        <v>222</v>
      </c>
      <c r="E68" s="5" t="s">
        <v>223</v>
      </c>
      <c r="F68" s="5" t="s">
        <v>224</v>
      </c>
      <c r="G68" s="8">
        <v>1.62</v>
      </c>
      <c r="H68" s="8">
        <v>3.4</v>
      </c>
      <c r="I68" s="9" t="s">
        <v>16</v>
      </c>
      <c r="J68" s="9"/>
      <c r="K68" s="10" t="n">
        <f aca="false">+H68+G68</f>
        <v>5.02</v>
      </c>
    </row>
    <row r="69" customFormat="false" ht="14.25" hidden="false" customHeight="false" outlineLevel="0" collapsed="false">
      <c r="A69" s="5" t="s">
        <v>11</v>
      </c>
      <c r="B69" s="5" t="s">
        <v>71</v>
      </c>
      <c r="C69" s="6">
        <v>11</v>
      </c>
      <c r="D69" s="5" t="s">
        <v>225</v>
      </c>
      <c r="E69" s="5" t="s">
        <v>118</v>
      </c>
      <c r="F69" s="5" t="s">
        <v>226</v>
      </c>
      <c r="G69" s="8"/>
      <c r="H69" s="8">
        <v>2.89</v>
      </c>
      <c r="I69" s="5"/>
      <c r="J69" s="9" t="s">
        <v>16</v>
      </c>
      <c r="K69" s="10" t="n">
        <f aca="false">+H69</f>
        <v>2.89</v>
      </c>
    </row>
    <row r="70" customFormat="false" ht="14.25" hidden="false" customHeight="false" outlineLevel="0" collapsed="false">
      <c r="A70" s="5" t="s">
        <v>11</v>
      </c>
      <c r="B70" s="5" t="s">
        <v>71</v>
      </c>
      <c r="C70" s="6">
        <v>34</v>
      </c>
      <c r="D70" s="11" t="s">
        <v>227</v>
      </c>
      <c r="E70" s="5" t="s">
        <v>228</v>
      </c>
      <c r="F70" s="5" t="s">
        <v>229</v>
      </c>
      <c r="G70" s="8">
        <v>1.62</v>
      </c>
      <c r="H70" s="8">
        <v>8.85</v>
      </c>
      <c r="I70" s="9" t="s">
        <v>16</v>
      </c>
      <c r="J70" s="5"/>
      <c r="K70" s="10" t="n">
        <f aca="false">+G70+H70</f>
        <v>10.47</v>
      </c>
    </row>
    <row r="71" customFormat="false" ht="14.25" hidden="false" customHeight="false" outlineLevel="0" collapsed="false">
      <c r="A71" s="5" t="s">
        <v>11</v>
      </c>
      <c r="B71" s="5" t="s">
        <v>105</v>
      </c>
      <c r="C71" s="6" t="s">
        <v>32</v>
      </c>
      <c r="D71" s="11" t="s">
        <v>230</v>
      </c>
      <c r="E71" s="5" t="s">
        <v>231</v>
      </c>
      <c r="F71" s="5" t="s">
        <v>232</v>
      </c>
      <c r="G71" s="12">
        <v>1.5</v>
      </c>
      <c r="H71" s="8">
        <v>3</v>
      </c>
      <c r="I71" s="9" t="s">
        <v>16</v>
      </c>
      <c r="J71" s="5"/>
      <c r="K71" s="10" t="n">
        <f aca="false">+G71+H71</f>
        <v>4.5</v>
      </c>
    </row>
    <row r="72" customFormat="false" ht="14.25" hidden="false" customHeight="false" outlineLevel="0" collapsed="false">
      <c r="A72" s="5" t="s">
        <v>11</v>
      </c>
      <c r="B72" s="5" t="s">
        <v>27</v>
      </c>
      <c r="C72" s="6">
        <v>13</v>
      </c>
      <c r="D72" s="7" t="s">
        <v>233</v>
      </c>
      <c r="E72" s="5" t="s">
        <v>234</v>
      </c>
      <c r="F72" s="5" t="s">
        <v>235</v>
      </c>
      <c r="G72" s="8">
        <v>1.62</v>
      </c>
      <c r="H72" s="8">
        <v>3.4</v>
      </c>
      <c r="I72" s="9" t="s">
        <v>16</v>
      </c>
      <c r="J72" s="5"/>
      <c r="K72" s="10" t="n">
        <f aca="false">+G72+H72</f>
        <v>5.02</v>
      </c>
    </row>
    <row r="73" customFormat="false" ht="14.25" hidden="false" customHeight="false" outlineLevel="0" collapsed="false">
      <c r="A73" s="5" t="s">
        <v>11</v>
      </c>
      <c r="B73" s="5" t="s">
        <v>31</v>
      </c>
      <c r="C73" s="6" t="s">
        <v>32</v>
      </c>
      <c r="D73" s="11" t="s">
        <v>236</v>
      </c>
      <c r="E73" s="5" t="s">
        <v>237</v>
      </c>
      <c r="F73" s="5" t="s">
        <v>238</v>
      </c>
      <c r="G73" s="12">
        <v>1.5</v>
      </c>
      <c r="H73" s="8">
        <v>3</v>
      </c>
      <c r="I73" s="9" t="s">
        <v>16</v>
      </c>
      <c r="J73" s="5"/>
      <c r="K73" s="10" t="n">
        <f aca="false">+G73+H73</f>
        <v>4.5</v>
      </c>
    </row>
    <row r="74" customFormat="false" ht="14.25" hidden="false" customHeight="false" outlineLevel="0" collapsed="false">
      <c r="A74" s="5" t="s">
        <v>11</v>
      </c>
      <c r="B74" s="5" t="s">
        <v>71</v>
      </c>
      <c r="C74" s="6">
        <v>34</v>
      </c>
      <c r="D74" s="11" t="s">
        <v>239</v>
      </c>
      <c r="E74" s="5" t="s">
        <v>240</v>
      </c>
      <c r="F74" s="5" t="s">
        <v>241</v>
      </c>
      <c r="G74" s="8">
        <v>1.62</v>
      </c>
      <c r="H74" s="8">
        <v>8.85</v>
      </c>
      <c r="I74" s="9" t="s">
        <v>16</v>
      </c>
      <c r="J74" s="5"/>
      <c r="K74" s="10" t="n">
        <f aca="false">+G74+H74</f>
        <v>10.47</v>
      </c>
    </row>
    <row r="75" customFormat="false" ht="14.25" hidden="false" customHeight="false" outlineLevel="0" collapsed="false">
      <c r="A75" s="5" t="s">
        <v>39</v>
      </c>
      <c r="B75" s="5" t="s">
        <v>40</v>
      </c>
      <c r="C75" s="6">
        <v>83</v>
      </c>
      <c r="D75" s="5" t="s">
        <v>242</v>
      </c>
      <c r="E75" s="5" t="s">
        <v>243</v>
      </c>
      <c r="F75" s="5" t="s">
        <v>244</v>
      </c>
      <c r="G75" s="14">
        <v>1.62</v>
      </c>
      <c r="H75" s="15">
        <v>1.15</v>
      </c>
      <c r="I75" s="16" t="s">
        <v>16</v>
      </c>
      <c r="J75" s="5"/>
      <c r="K75" s="10" t="n">
        <f aca="false">+G75+H75</f>
        <v>2.77</v>
      </c>
    </row>
    <row r="76" customFormat="false" ht="14.25" hidden="false" customHeight="false" outlineLevel="0" collapsed="false">
      <c r="A76" s="5" t="s">
        <v>11</v>
      </c>
      <c r="B76" s="5" t="s">
        <v>31</v>
      </c>
      <c r="C76" s="6" t="s">
        <v>32</v>
      </c>
      <c r="D76" s="11" t="s">
        <v>245</v>
      </c>
      <c r="E76" s="5" t="s">
        <v>246</v>
      </c>
      <c r="F76" s="5"/>
      <c r="G76" s="12">
        <v>1.5</v>
      </c>
      <c r="H76" s="8">
        <v>3</v>
      </c>
      <c r="I76" s="9" t="s">
        <v>16</v>
      </c>
      <c r="J76" s="5"/>
      <c r="K76" s="10" t="n">
        <f aca="false">+G76+H76</f>
        <v>4.5</v>
      </c>
    </row>
    <row r="77" customFormat="false" ht="14.25" hidden="false" customHeight="false" outlineLevel="0" collapsed="false">
      <c r="A77" s="5" t="s">
        <v>11</v>
      </c>
      <c r="B77" s="5" t="s">
        <v>105</v>
      </c>
      <c r="C77" s="6" t="s">
        <v>32</v>
      </c>
      <c r="D77" s="11" t="s">
        <v>247</v>
      </c>
      <c r="E77" s="5" t="s">
        <v>248</v>
      </c>
      <c r="F77" s="5" t="s">
        <v>249</v>
      </c>
      <c r="G77" s="12">
        <v>1.5</v>
      </c>
      <c r="H77" s="8">
        <v>3</v>
      </c>
      <c r="I77" s="9" t="s">
        <v>16</v>
      </c>
      <c r="J77" s="5"/>
      <c r="K77" s="10" t="n">
        <f aca="false">+G77+H77</f>
        <v>4.5</v>
      </c>
    </row>
    <row r="78" customFormat="false" ht="14.25" hidden="false" customHeight="false" outlineLevel="0" collapsed="false">
      <c r="A78" s="5" t="s">
        <v>11</v>
      </c>
      <c r="B78" s="5" t="s">
        <v>27</v>
      </c>
      <c r="C78" s="6">
        <v>13</v>
      </c>
      <c r="D78" s="7" t="s">
        <v>250</v>
      </c>
      <c r="E78" s="5" t="s">
        <v>65</v>
      </c>
      <c r="F78" s="5" t="s">
        <v>251</v>
      </c>
      <c r="G78" s="8">
        <v>1.62</v>
      </c>
      <c r="H78" s="8">
        <v>3.4</v>
      </c>
      <c r="I78" s="9" t="s">
        <v>16</v>
      </c>
      <c r="J78" s="5"/>
      <c r="K78" s="10" t="n">
        <f aca="false">+G78+H78</f>
        <v>5.02</v>
      </c>
    </row>
    <row r="79" customFormat="false" ht="27.6" hidden="false" customHeight="true" outlineLevel="0" collapsed="false">
      <c r="B79" s="5" t="s">
        <v>17</v>
      </c>
      <c r="C79" s="6" t="s">
        <v>18</v>
      </c>
      <c r="D79" s="7" t="s">
        <v>252</v>
      </c>
      <c r="E79" s="7" t="s">
        <v>253</v>
      </c>
      <c r="F79" s="19" t="s">
        <v>254</v>
      </c>
      <c r="G79" s="20">
        <v>1.5</v>
      </c>
      <c r="H79" s="20">
        <v>3.74</v>
      </c>
      <c r="I79" s="9" t="s">
        <v>16</v>
      </c>
      <c r="J79" s="7"/>
      <c r="K79" s="21" t="n">
        <f aca="false">G79+H79</f>
        <v>5.24</v>
      </c>
    </row>
  </sheetData>
  <autoFilter ref="A1:K7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0.6953125" defaultRowHeight="14.25" customHeight="false" zeroHeight="false" outlineLevelRow="0" outlineLevelCol="0"/>
  <cols>
    <col collapsed="false" customWidth="true" hidden="false" outlineLevel="0" max="1" min="1" style="1" width="16.56"/>
    <col collapsed="false" customWidth="true" hidden="false" outlineLevel="0" max="2" min="2" style="1" width="27.65"/>
    <col collapsed="false" customWidth="true" hidden="false" outlineLevel="0" max="4" min="4" style="1" width="10.99"/>
    <col collapsed="false" customWidth="true" hidden="false" outlineLevel="0" max="5" min="5" style="1" width="19.57"/>
    <col collapsed="false" customWidth="true" hidden="false" outlineLevel="0" max="6" min="6" style="1" width="14.01"/>
    <col collapsed="false" customWidth="true" hidden="false" outlineLevel="0" max="7" min="7" style="1" width="31.88"/>
    <col collapsed="false" customWidth="true" hidden="false" outlineLevel="0" max="8" min="8" style="1" width="19.57"/>
    <col collapsed="false" customWidth="true" hidden="false" outlineLevel="0" max="9" min="9" style="1" width="20.98"/>
  </cols>
  <sheetData>
    <row r="1" customFormat="false" ht="23.85" hidden="false" customHeight="false" outlineLevel="0" collapsed="false">
      <c r="A1" s="22" t="s">
        <v>255</v>
      </c>
      <c r="B1" s="22" t="s">
        <v>256</v>
      </c>
      <c r="C1" s="22" t="s">
        <v>257</v>
      </c>
      <c r="D1" s="22" t="s">
        <v>258</v>
      </c>
      <c r="E1" s="22" t="s">
        <v>259</v>
      </c>
      <c r="F1" s="23" t="s">
        <v>260</v>
      </c>
      <c r="G1" s="22" t="s">
        <v>261</v>
      </c>
      <c r="H1" s="22" t="s">
        <v>262</v>
      </c>
      <c r="I1" s="24" t="s">
        <v>263</v>
      </c>
    </row>
    <row r="2" customFormat="false" ht="35.05" hidden="false" customHeight="false" outlineLevel="0" collapsed="false">
      <c r="A2" s="25" t="s">
        <v>264</v>
      </c>
      <c r="B2" s="25" t="s">
        <v>265</v>
      </c>
      <c r="C2" s="25"/>
      <c r="D2" s="25">
        <v>2201338463</v>
      </c>
      <c r="E2" s="26">
        <v>1635.11</v>
      </c>
      <c r="F2" s="27" t="s">
        <v>266</v>
      </c>
      <c r="G2" s="27" t="s">
        <v>267</v>
      </c>
      <c r="H2" s="26" t="s">
        <v>268</v>
      </c>
      <c r="I2" s="28">
        <v>1278</v>
      </c>
    </row>
    <row r="3" customFormat="false" ht="46.25" hidden="false" customHeight="false" outlineLevel="0" collapsed="false">
      <c r="A3" s="25" t="s">
        <v>264</v>
      </c>
      <c r="B3" s="25" t="s">
        <v>269</v>
      </c>
      <c r="C3" s="25"/>
      <c r="D3" s="25">
        <v>2201375004</v>
      </c>
      <c r="E3" s="26">
        <v>226.13</v>
      </c>
      <c r="F3" s="27" t="s">
        <v>270</v>
      </c>
      <c r="G3" s="27" t="s">
        <v>271</v>
      </c>
      <c r="H3" s="26">
        <v>2767.4</v>
      </c>
      <c r="I3" s="29">
        <v>1344.1</v>
      </c>
    </row>
    <row r="4" customFormat="false" ht="35.05" hidden="false" customHeight="false" outlineLevel="0" collapsed="false">
      <c r="A4" s="30" t="s">
        <v>264</v>
      </c>
      <c r="B4" s="30" t="s">
        <v>272</v>
      </c>
      <c r="C4" s="30"/>
      <c r="D4" s="30">
        <v>2201375002</v>
      </c>
      <c r="E4" s="31">
        <v>1146.75</v>
      </c>
      <c r="F4" s="32" t="s">
        <v>273</v>
      </c>
      <c r="G4" s="32" t="s">
        <v>274</v>
      </c>
      <c r="H4" s="31">
        <v>6450</v>
      </c>
      <c r="I4" s="29">
        <v>744</v>
      </c>
    </row>
    <row r="5" customFormat="false" ht="46.25" hidden="false" customHeight="false" outlineLevel="0" collapsed="false">
      <c r="A5" s="25" t="s">
        <v>275</v>
      </c>
      <c r="B5" s="25" t="s">
        <v>276</v>
      </c>
      <c r="C5" s="25"/>
      <c r="D5" s="25">
        <v>2201520690</v>
      </c>
      <c r="E5" s="33" t="s">
        <v>277</v>
      </c>
      <c r="F5" s="34" t="s">
        <v>278</v>
      </c>
      <c r="G5" s="27" t="s">
        <v>279</v>
      </c>
      <c r="H5" s="26">
        <v>9726.24</v>
      </c>
      <c r="I5" s="29">
        <v>5134.38</v>
      </c>
    </row>
    <row r="6" customFormat="false" ht="35.05" hidden="false" customHeight="false" outlineLevel="0" collapsed="false">
      <c r="A6" s="25" t="s">
        <v>280</v>
      </c>
      <c r="B6" s="25" t="s">
        <v>281</v>
      </c>
      <c r="C6" s="25"/>
      <c r="D6" s="25">
        <v>2201493727</v>
      </c>
      <c r="E6" s="26">
        <v>1</v>
      </c>
      <c r="F6" s="34"/>
      <c r="G6" s="27" t="s">
        <v>282</v>
      </c>
      <c r="H6" s="26">
        <v>1</v>
      </c>
      <c r="I6" s="29">
        <v>0</v>
      </c>
    </row>
    <row r="7" customFormat="false" ht="113.4" hidden="false" customHeight="false" outlineLevel="0" collapsed="false">
      <c r="A7" s="25" t="s">
        <v>283</v>
      </c>
      <c r="B7" s="25" t="s">
        <v>284</v>
      </c>
      <c r="C7" s="25"/>
      <c r="D7" s="25">
        <v>2201518626</v>
      </c>
      <c r="E7" s="26" t="s">
        <v>285</v>
      </c>
      <c r="F7" s="35"/>
      <c r="G7" s="27" t="s">
        <v>286</v>
      </c>
      <c r="H7" s="36">
        <v>4450</v>
      </c>
      <c r="I7" s="29">
        <v>1930.5</v>
      </c>
    </row>
    <row r="8" customFormat="false" ht="96" hidden="false" customHeight="true" outlineLevel="0" collapsed="false">
      <c r="A8" s="25" t="s">
        <v>287</v>
      </c>
      <c r="B8" s="25" t="s">
        <v>288</v>
      </c>
      <c r="C8" s="25"/>
      <c r="D8" s="25">
        <v>2201495163</v>
      </c>
      <c r="E8" s="26"/>
      <c r="F8" s="25"/>
      <c r="G8" s="27" t="s">
        <v>289</v>
      </c>
      <c r="H8" s="26">
        <v>8000</v>
      </c>
      <c r="I8" s="29">
        <v>4150.44</v>
      </c>
    </row>
    <row r="9" customFormat="false" ht="96" hidden="false" customHeight="true" outlineLevel="0" collapsed="false">
      <c r="A9" s="25" t="s">
        <v>290</v>
      </c>
      <c r="B9" s="25" t="s">
        <v>291</v>
      </c>
      <c r="C9" s="25"/>
      <c r="D9" s="25">
        <v>2201505906</v>
      </c>
      <c r="E9" s="26"/>
      <c r="F9" s="25"/>
      <c r="G9" s="27" t="s">
        <v>292</v>
      </c>
      <c r="H9" s="26">
        <v>1160</v>
      </c>
      <c r="I9" s="29">
        <v>523.13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2" activeCellId="0" sqref="G2"/>
    </sheetView>
  </sheetViews>
  <sheetFormatPr defaultColWidth="10.6953125" defaultRowHeight="14.2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7.65"/>
    <col collapsed="false" customWidth="true" hidden="false" outlineLevel="0" max="4" min="4" style="1" width="11.99"/>
    <col collapsed="false" customWidth="true" hidden="false" outlineLevel="0" max="5" min="5" style="1" width="19.57"/>
    <col collapsed="false" customWidth="true" hidden="false" outlineLevel="0" max="7" min="7" style="1" width="31.88"/>
  </cols>
  <sheetData>
    <row r="1" customFormat="false" ht="14.25" hidden="false" customHeight="false" outlineLevel="0" collapsed="false">
      <c r="A1" s="37" t="s">
        <v>293</v>
      </c>
      <c r="B1" s="37" t="s">
        <v>256</v>
      </c>
      <c r="C1" s="37" t="s">
        <v>257</v>
      </c>
      <c r="D1" s="37" t="s">
        <v>258</v>
      </c>
      <c r="E1" s="37" t="s">
        <v>294</v>
      </c>
      <c r="F1" s="37" t="s">
        <v>295</v>
      </c>
      <c r="G1" s="37" t="s">
        <v>261</v>
      </c>
    </row>
    <row r="2" customFormat="false" ht="23.85" hidden="false" customHeight="false" outlineLevel="0" collapsed="false">
      <c r="A2" s="38" t="s">
        <v>296</v>
      </c>
      <c r="B2" s="39" t="s">
        <v>265</v>
      </c>
      <c r="C2" s="39"/>
      <c r="D2" s="39">
        <v>2201338463</v>
      </c>
      <c r="E2" s="40">
        <v>0</v>
      </c>
      <c r="F2" s="41" t="s">
        <v>297</v>
      </c>
      <c r="G2" s="41" t="s">
        <v>298</v>
      </c>
    </row>
    <row r="3" customFormat="false" ht="23.85" hidden="false" customHeight="false" outlineLevel="0" collapsed="false">
      <c r="A3" s="38"/>
      <c r="B3" s="39" t="s">
        <v>269</v>
      </c>
      <c r="C3" s="39"/>
      <c r="D3" s="39">
        <v>2201375004</v>
      </c>
      <c r="E3" s="40">
        <v>0</v>
      </c>
      <c r="F3" s="42" t="s">
        <v>299</v>
      </c>
      <c r="G3" s="41" t="s">
        <v>298</v>
      </c>
    </row>
    <row r="4" customFormat="false" ht="23.85" hidden="false" customHeight="false" outlineLevel="0" collapsed="false">
      <c r="A4" s="38"/>
      <c r="B4" s="39" t="s">
        <v>272</v>
      </c>
      <c r="C4" s="39"/>
      <c r="D4" s="39">
        <v>2201375002</v>
      </c>
      <c r="E4" s="40">
        <v>0</v>
      </c>
      <c r="F4" s="42" t="s">
        <v>299</v>
      </c>
      <c r="G4" s="41" t="s">
        <v>298</v>
      </c>
    </row>
    <row r="5" customFormat="false" ht="68.65" hidden="false" customHeight="false" outlineLevel="0" collapsed="false">
      <c r="A5" s="43" t="s">
        <v>300</v>
      </c>
      <c r="B5" s="39" t="s">
        <v>276</v>
      </c>
      <c r="C5" s="39"/>
      <c r="D5" s="41" t="s">
        <v>301</v>
      </c>
      <c r="E5" s="40">
        <v>9726.24</v>
      </c>
      <c r="F5" s="39" t="s">
        <v>278</v>
      </c>
      <c r="G5" s="41" t="s">
        <v>302</v>
      </c>
    </row>
    <row r="6" customFormat="false" ht="35.05" hidden="false" customHeight="false" outlineLevel="0" collapsed="false">
      <c r="A6" s="43" t="s">
        <v>303</v>
      </c>
      <c r="B6" s="39" t="s">
        <v>281</v>
      </c>
      <c r="C6" s="39"/>
      <c r="D6" s="39">
        <v>2201493727</v>
      </c>
      <c r="E6" s="40">
        <v>1</v>
      </c>
      <c r="F6" s="39" t="s">
        <v>278</v>
      </c>
      <c r="G6" s="41" t="s">
        <v>282</v>
      </c>
    </row>
    <row r="7" customFormat="false" ht="68.65" hidden="false" customHeight="false" outlineLevel="0" collapsed="false">
      <c r="A7" s="43" t="s">
        <v>31</v>
      </c>
      <c r="B7" s="39" t="s">
        <v>284</v>
      </c>
      <c r="C7" s="39"/>
      <c r="D7" s="39">
        <v>2201516506</v>
      </c>
      <c r="E7" s="40">
        <v>1700</v>
      </c>
      <c r="F7" s="39" t="s">
        <v>278</v>
      </c>
      <c r="G7" s="41" t="s">
        <v>304</v>
      </c>
    </row>
    <row r="8" customFormat="false" ht="14.25" hidden="false" customHeight="false" outlineLevel="0" collapsed="false">
      <c r="A8" s="44" t="s">
        <v>305</v>
      </c>
      <c r="B8" s="43" t="s">
        <v>306</v>
      </c>
      <c r="C8" s="43"/>
      <c r="D8" s="43"/>
      <c r="E8" s="43"/>
      <c r="F8" s="43"/>
      <c r="G8" s="43"/>
    </row>
    <row r="9" customFormat="false" ht="57" hidden="false" customHeight="false" outlineLevel="0" collapsed="false">
      <c r="A9" s="43" t="s">
        <v>307</v>
      </c>
      <c r="B9" s="39" t="s">
        <v>288</v>
      </c>
      <c r="C9" s="39"/>
      <c r="D9" s="39">
        <v>2201495163</v>
      </c>
      <c r="E9" s="40">
        <v>3000</v>
      </c>
      <c r="F9" s="39" t="s">
        <v>278</v>
      </c>
      <c r="G9" s="41" t="s">
        <v>308</v>
      </c>
    </row>
    <row r="10" customFormat="false" ht="14.25" hidden="false" customHeight="false" outlineLevel="0" collapsed="false">
      <c r="A10" s="43" t="s">
        <v>309</v>
      </c>
      <c r="B10" s="43" t="s">
        <v>310</v>
      </c>
      <c r="C10" s="43"/>
      <c r="D10" s="43"/>
      <c r="E10" s="43"/>
      <c r="F10" s="43"/>
      <c r="G10" s="43"/>
    </row>
    <row r="11" customFormat="false" ht="14.25" hidden="false" customHeight="false" outlineLevel="0" collapsed="false">
      <c r="A11" s="43" t="s">
        <v>311</v>
      </c>
      <c r="B11" s="43" t="s">
        <v>312</v>
      </c>
      <c r="C11" s="43"/>
      <c r="D11" s="43"/>
      <c r="E11" s="43"/>
      <c r="F11" s="43"/>
      <c r="G11" s="43"/>
    </row>
  </sheetData>
  <mergeCells count="4">
    <mergeCell ref="A2:A4"/>
    <mergeCell ref="B8:G8"/>
    <mergeCell ref="B10:G10"/>
    <mergeCell ref="B11:G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9" activeCellId="0" sqref="A59"/>
    </sheetView>
  </sheetViews>
  <sheetFormatPr defaultColWidth="10.6953125" defaultRowHeight="14.25" customHeight="false" zeroHeight="false" outlineLevelRow="0" outlineLevelCol="0"/>
  <cols>
    <col collapsed="false" customWidth="true" hidden="false" outlineLevel="0" max="2" min="2" style="1" width="19.33"/>
    <col collapsed="false" customWidth="true" hidden="false" outlineLevel="0" max="4" min="4" style="1" width="13.66"/>
    <col collapsed="false" customWidth="true" hidden="false" outlineLevel="0" max="6" min="6" style="1" width="56.01"/>
  </cols>
  <sheetData>
    <row r="1" customFormat="false" ht="91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customFormat="false" ht="14.25" hidden="true" customHeight="false" outlineLevel="0" collapsed="false">
      <c r="A2" s="7" t="s">
        <v>11</v>
      </c>
      <c r="B2" s="7" t="s">
        <v>17</v>
      </c>
      <c r="C2" s="38" t="s">
        <v>18</v>
      </c>
      <c r="D2" s="5" t="s">
        <v>19</v>
      </c>
      <c r="E2" s="7" t="s">
        <v>20</v>
      </c>
      <c r="F2" s="7" t="s">
        <v>21</v>
      </c>
      <c r="G2" s="45">
        <v>1.5</v>
      </c>
      <c r="H2" s="46">
        <v>3.74</v>
      </c>
      <c r="I2" s="47" t="s">
        <v>16</v>
      </c>
      <c r="J2" s="7"/>
      <c r="K2" s="48">
        <v>5.24</v>
      </c>
    </row>
    <row r="3" customFormat="false" ht="14.25" hidden="true" customHeight="false" outlineLevel="0" collapsed="false">
      <c r="A3" s="7" t="s">
        <v>22</v>
      </c>
      <c r="B3" s="7" t="s">
        <v>23</v>
      </c>
      <c r="C3" s="38" t="s">
        <v>18</v>
      </c>
      <c r="D3" s="5" t="s">
        <v>24</v>
      </c>
      <c r="E3" s="7" t="s">
        <v>25</v>
      </c>
      <c r="F3" s="7" t="s">
        <v>26</v>
      </c>
      <c r="G3" s="45"/>
      <c r="H3" s="46">
        <v>3.74</v>
      </c>
      <c r="I3" s="7"/>
      <c r="J3" s="7"/>
      <c r="K3" s="48">
        <v>3.74</v>
      </c>
    </row>
    <row r="4" customFormat="false" ht="14.25" hidden="true" customHeight="false" outlineLevel="0" collapsed="false">
      <c r="A4" s="7" t="s">
        <v>11</v>
      </c>
      <c r="B4" s="7" t="s">
        <v>31</v>
      </c>
      <c r="C4" s="38" t="s">
        <v>32</v>
      </c>
      <c r="D4" s="5" t="s">
        <v>33</v>
      </c>
      <c r="E4" s="7" t="s">
        <v>34</v>
      </c>
      <c r="F4" s="7" t="s">
        <v>35</v>
      </c>
      <c r="G4" s="45">
        <v>1.5</v>
      </c>
      <c r="H4" s="46">
        <v>3</v>
      </c>
      <c r="I4" s="47" t="s">
        <v>16</v>
      </c>
      <c r="J4" s="7"/>
      <c r="K4" s="48">
        <v>4.5</v>
      </c>
    </row>
    <row r="5" customFormat="false" ht="14.25" hidden="true" customHeight="false" outlineLevel="0" collapsed="false">
      <c r="A5" s="7" t="s">
        <v>11</v>
      </c>
      <c r="B5" s="7" t="s">
        <v>31</v>
      </c>
      <c r="C5" s="38" t="s">
        <v>32</v>
      </c>
      <c r="D5" s="5" t="s">
        <v>36</v>
      </c>
      <c r="E5" s="7" t="s">
        <v>37</v>
      </c>
      <c r="F5" s="7" t="s">
        <v>38</v>
      </c>
      <c r="G5" s="45">
        <v>1.5</v>
      </c>
      <c r="H5" s="46">
        <v>3</v>
      </c>
      <c r="I5" s="47" t="s">
        <v>16</v>
      </c>
      <c r="J5" s="7"/>
      <c r="K5" s="48">
        <v>4.5</v>
      </c>
    </row>
    <row r="6" customFormat="false" ht="14.25" hidden="true" customHeight="false" outlineLevel="0" collapsed="false">
      <c r="A6" s="7" t="s">
        <v>50</v>
      </c>
      <c r="B6" s="7" t="s">
        <v>51</v>
      </c>
      <c r="C6" s="38" t="s">
        <v>32</v>
      </c>
      <c r="D6" s="5" t="s">
        <v>313</v>
      </c>
      <c r="E6" s="7" t="s">
        <v>314</v>
      </c>
      <c r="F6" s="7" t="s">
        <v>54</v>
      </c>
      <c r="G6" s="45"/>
      <c r="H6" s="46">
        <v>3</v>
      </c>
      <c r="I6" s="7"/>
      <c r="J6" s="7"/>
      <c r="K6" s="48">
        <v>3</v>
      </c>
    </row>
    <row r="7" customFormat="false" ht="14.25" hidden="true" customHeight="false" outlineLevel="0" collapsed="false">
      <c r="A7" s="7" t="s">
        <v>11</v>
      </c>
      <c r="B7" s="7" t="s">
        <v>17</v>
      </c>
      <c r="C7" s="38" t="s">
        <v>18</v>
      </c>
      <c r="D7" s="5" t="s">
        <v>84</v>
      </c>
      <c r="E7" s="7" t="s">
        <v>85</v>
      </c>
      <c r="F7" s="7" t="s">
        <v>86</v>
      </c>
      <c r="G7" s="45">
        <v>1.5</v>
      </c>
      <c r="H7" s="46">
        <v>3.74</v>
      </c>
      <c r="I7" s="47" t="s">
        <v>16</v>
      </c>
      <c r="J7" s="7"/>
      <c r="K7" s="48">
        <v>5.24</v>
      </c>
    </row>
    <row r="8" customFormat="false" ht="14.25" hidden="true" customHeight="false" outlineLevel="0" collapsed="false">
      <c r="A8" s="7" t="s">
        <v>39</v>
      </c>
      <c r="B8" s="7" t="s">
        <v>91</v>
      </c>
      <c r="C8" s="38" t="s">
        <v>32</v>
      </c>
      <c r="D8" s="5" t="s">
        <v>92</v>
      </c>
      <c r="E8" s="7" t="s">
        <v>93</v>
      </c>
      <c r="F8" s="7" t="s">
        <v>94</v>
      </c>
      <c r="G8" s="45"/>
      <c r="H8" s="46">
        <v>3</v>
      </c>
      <c r="I8" s="7"/>
      <c r="J8" s="7"/>
      <c r="K8" s="48">
        <v>3</v>
      </c>
    </row>
    <row r="9" customFormat="false" ht="14.25" hidden="true" customHeight="false" outlineLevel="0" collapsed="false">
      <c r="A9" s="7" t="s">
        <v>11</v>
      </c>
      <c r="B9" s="7" t="s">
        <v>105</v>
      </c>
      <c r="C9" s="38" t="s">
        <v>32</v>
      </c>
      <c r="D9" s="5" t="s">
        <v>106</v>
      </c>
      <c r="E9" s="7" t="s">
        <v>107</v>
      </c>
      <c r="F9" s="7" t="s">
        <v>108</v>
      </c>
      <c r="G9" s="45">
        <v>1.5</v>
      </c>
      <c r="H9" s="46">
        <v>3</v>
      </c>
      <c r="I9" s="47" t="s">
        <v>16</v>
      </c>
      <c r="J9" s="7"/>
      <c r="K9" s="48">
        <v>4.5</v>
      </c>
    </row>
    <row r="10" customFormat="false" ht="14.25" hidden="true" customHeight="false" outlineLevel="0" collapsed="false">
      <c r="A10" s="7" t="s">
        <v>11</v>
      </c>
      <c r="B10" s="7" t="s">
        <v>17</v>
      </c>
      <c r="C10" s="38" t="s">
        <v>18</v>
      </c>
      <c r="D10" s="5" t="s">
        <v>120</v>
      </c>
      <c r="E10" s="7" t="s">
        <v>121</v>
      </c>
      <c r="F10" s="7" t="s">
        <v>122</v>
      </c>
      <c r="G10" s="45">
        <v>1.5</v>
      </c>
      <c r="H10" s="46">
        <v>3.74</v>
      </c>
      <c r="I10" s="47" t="s">
        <v>16</v>
      </c>
      <c r="J10" s="7"/>
      <c r="K10" s="48">
        <v>5.24</v>
      </c>
    </row>
    <row r="11" customFormat="false" ht="14.25" hidden="true" customHeight="false" outlineLevel="0" collapsed="false">
      <c r="A11" s="7" t="s">
        <v>11</v>
      </c>
      <c r="B11" s="7" t="s">
        <v>17</v>
      </c>
      <c r="C11" s="38" t="s">
        <v>18</v>
      </c>
      <c r="D11" s="5" t="s">
        <v>123</v>
      </c>
      <c r="E11" s="7" t="s">
        <v>124</v>
      </c>
      <c r="F11" s="7" t="s">
        <v>125</v>
      </c>
      <c r="G11" s="45">
        <v>1.5</v>
      </c>
      <c r="H11" s="46">
        <v>3.74</v>
      </c>
      <c r="I11" s="47" t="s">
        <v>16</v>
      </c>
      <c r="J11" s="7"/>
      <c r="K11" s="48">
        <v>5.24</v>
      </c>
    </row>
    <row r="12" customFormat="false" ht="14.25" hidden="true" customHeight="false" outlineLevel="0" collapsed="false">
      <c r="A12" s="7" t="s">
        <v>126</v>
      </c>
      <c r="B12" s="7" t="s">
        <v>126</v>
      </c>
      <c r="C12" s="38" t="s">
        <v>32</v>
      </c>
      <c r="D12" s="5" t="s">
        <v>127</v>
      </c>
      <c r="E12" s="7" t="s">
        <v>128</v>
      </c>
      <c r="F12" s="7" t="s">
        <v>129</v>
      </c>
      <c r="G12" s="45">
        <v>1.5</v>
      </c>
      <c r="H12" s="46">
        <v>3</v>
      </c>
      <c r="I12" s="47" t="s">
        <v>16</v>
      </c>
      <c r="J12" s="7"/>
      <c r="K12" s="48">
        <v>4.5</v>
      </c>
    </row>
    <row r="13" customFormat="false" ht="14.25" hidden="true" customHeight="false" outlineLevel="0" collapsed="false">
      <c r="A13" s="7" t="s">
        <v>50</v>
      </c>
      <c r="B13" s="7" t="s">
        <v>130</v>
      </c>
      <c r="C13" s="38" t="s">
        <v>18</v>
      </c>
      <c r="D13" s="5" t="s">
        <v>131</v>
      </c>
      <c r="E13" s="7" t="s">
        <v>132</v>
      </c>
      <c r="F13" s="7" t="s">
        <v>70</v>
      </c>
      <c r="G13" s="45"/>
      <c r="H13" s="46">
        <v>3.74</v>
      </c>
      <c r="I13" s="7"/>
      <c r="J13" s="7"/>
      <c r="K13" s="48">
        <v>3.74</v>
      </c>
    </row>
    <row r="14" customFormat="false" ht="14.25" hidden="true" customHeight="false" outlineLevel="0" collapsed="false">
      <c r="A14" s="7" t="s">
        <v>11</v>
      </c>
      <c r="B14" s="7" t="s">
        <v>105</v>
      </c>
      <c r="C14" s="38" t="s">
        <v>32</v>
      </c>
      <c r="D14" s="5" t="s">
        <v>133</v>
      </c>
      <c r="E14" s="7" t="s">
        <v>134</v>
      </c>
      <c r="F14" s="7" t="s">
        <v>135</v>
      </c>
      <c r="G14" s="45">
        <v>1.5</v>
      </c>
      <c r="H14" s="46">
        <v>3</v>
      </c>
      <c r="I14" s="47" t="s">
        <v>16</v>
      </c>
      <c r="J14" s="7"/>
      <c r="K14" s="48">
        <v>4.5</v>
      </c>
    </row>
    <row r="15" customFormat="false" ht="14.25" hidden="true" customHeight="false" outlineLevel="0" collapsed="false">
      <c r="A15" s="7" t="s">
        <v>50</v>
      </c>
      <c r="B15" s="7" t="s">
        <v>51</v>
      </c>
      <c r="C15" s="38" t="s">
        <v>32</v>
      </c>
      <c r="D15" s="5" t="s">
        <v>136</v>
      </c>
      <c r="E15" s="7" t="s">
        <v>137</v>
      </c>
      <c r="F15" s="7" t="s">
        <v>138</v>
      </c>
      <c r="G15" s="45">
        <v>1.5</v>
      </c>
      <c r="H15" s="46">
        <v>3</v>
      </c>
      <c r="I15" s="47" t="s">
        <v>16</v>
      </c>
      <c r="J15" s="7"/>
      <c r="K15" s="48">
        <v>4.5</v>
      </c>
    </row>
    <row r="16" customFormat="false" ht="14.25" hidden="true" customHeight="false" outlineLevel="0" collapsed="false">
      <c r="A16" s="7" t="s">
        <v>11</v>
      </c>
      <c r="B16" s="7" t="s">
        <v>31</v>
      </c>
      <c r="C16" s="38" t="s">
        <v>32</v>
      </c>
      <c r="D16" s="5" t="s">
        <v>148</v>
      </c>
      <c r="E16" s="7" t="s">
        <v>149</v>
      </c>
      <c r="F16" s="7" t="s">
        <v>150</v>
      </c>
      <c r="G16" s="45">
        <v>1.5</v>
      </c>
      <c r="H16" s="46">
        <v>3</v>
      </c>
      <c r="I16" s="47" t="s">
        <v>16</v>
      </c>
      <c r="J16" s="7"/>
      <c r="K16" s="48">
        <v>4.5</v>
      </c>
    </row>
    <row r="17" customFormat="false" ht="14.25" hidden="true" customHeight="false" outlineLevel="0" collapsed="false">
      <c r="A17" s="7" t="s">
        <v>11</v>
      </c>
      <c r="B17" s="7" t="s">
        <v>105</v>
      </c>
      <c r="C17" s="38" t="s">
        <v>32</v>
      </c>
      <c r="D17" s="5" t="s">
        <v>168</v>
      </c>
      <c r="E17" s="7" t="s">
        <v>169</v>
      </c>
      <c r="F17" s="7" t="s">
        <v>170</v>
      </c>
      <c r="G17" s="45"/>
      <c r="H17" s="46">
        <v>3</v>
      </c>
      <c r="I17" s="7"/>
      <c r="J17" s="47"/>
      <c r="K17" s="48">
        <v>3</v>
      </c>
    </row>
    <row r="18" customFormat="false" ht="14.25" hidden="true" customHeight="false" outlineLevel="0" collapsed="false">
      <c r="A18" s="7" t="s">
        <v>39</v>
      </c>
      <c r="B18" s="7" t="s">
        <v>171</v>
      </c>
      <c r="C18" s="38" t="s">
        <v>32</v>
      </c>
      <c r="D18" s="5" t="s">
        <v>172</v>
      </c>
      <c r="E18" s="7" t="s">
        <v>173</v>
      </c>
      <c r="F18" s="7" t="s">
        <v>174</v>
      </c>
      <c r="G18" s="45"/>
      <c r="H18" s="46">
        <v>3</v>
      </c>
      <c r="I18" s="7"/>
      <c r="J18" s="7"/>
      <c r="K18" s="48">
        <v>3</v>
      </c>
    </row>
    <row r="19" customFormat="false" ht="14.25" hidden="true" customHeight="false" outlineLevel="0" collapsed="false">
      <c r="A19" s="7" t="s">
        <v>126</v>
      </c>
      <c r="B19" s="7" t="s">
        <v>181</v>
      </c>
      <c r="C19" s="38" t="s">
        <v>18</v>
      </c>
      <c r="D19" s="5" t="s">
        <v>182</v>
      </c>
      <c r="E19" s="7" t="s">
        <v>110</v>
      </c>
      <c r="F19" s="7" t="s">
        <v>144</v>
      </c>
      <c r="G19" s="45"/>
      <c r="H19" s="46">
        <v>3.74</v>
      </c>
      <c r="I19" s="7"/>
      <c r="J19" s="7"/>
      <c r="K19" s="48">
        <v>3.74</v>
      </c>
    </row>
    <row r="20" customFormat="false" ht="14.25" hidden="true" customHeight="false" outlineLevel="0" collapsed="false">
      <c r="A20" s="7" t="s">
        <v>11</v>
      </c>
      <c r="B20" s="7" t="s">
        <v>105</v>
      </c>
      <c r="C20" s="38" t="s">
        <v>32</v>
      </c>
      <c r="D20" s="5" t="s">
        <v>183</v>
      </c>
      <c r="E20" s="7" t="s">
        <v>184</v>
      </c>
      <c r="F20" s="7" t="s">
        <v>185</v>
      </c>
      <c r="G20" s="45">
        <v>1.5</v>
      </c>
      <c r="H20" s="46">
        <v>3</v>
      </c>
      <c r="I20" s="47" t="s">
        <v>16</v>
      </c>
      <c r="J20" s="7"/>
      <c r="K20" s="48">
        <v>4.5</v>
      </c>
    </row>
    <row r="21" customFormat="false" ht="14.25" hidden="true" customHeight="false" outlineLevel="0" collapsed="false">
      <c r="A21" s="7" t="s">
        <v>11</v>
      </c>
      <c r="B21" s="7" t="s">
        <v>17</v>
      </c>
      <c r="C21" s="38" t="s">
        <v>18</v>
      </c>
      <c r="D21" s="5" t="s">
        <v>189</v>
      </c>
      <c r="E21" s="7" t="s">
        <v>190</v>
      </c>
      <c r="F21" s="7" t="s">
        <v>191</v>
      </c>
      <c r="G21" s="45">
        <v>1.5</v>
      </c>
      <c r="H21" s="46">
        <v>3.74</v>
      </c>
      <c r="I21" s="47" t="s">
        <v>16</v>
      </c>
      <c r="J21" s="7"/>
      <c r="K21" s="48">
        <v>5.24</v>
      </c>
    </row>
    <row r="22" customFormat="false" ht="14.25" hidden="true" customHeight="false" outlineLevel="0" collapsed="false">
      <c r="A22" s="7" t="s">
        <v>11</v>
      </c>
      <c r="B22" s="7" t="s">
        <v>201</v>
      </c>
      <c r="C22" s="38" t="s">
        <v>32</v>
      </c>
      <c r="D22" s="5" t="s">
        <v>202</v>
      </c>
      <c r="E22" s="7" t="s">
        <v>203</v>
      </c>
      <c r="F22" s="7" t="s">
        <v>204</v>
      </c>
      <c r="G22" s="45"/>
      <c r="H22" s="46">
        <v>3</v>
      </c>
      <c r="I22" s="7"/>
      <c r="J22" s="7"/>
      <c r="K22" s="48">
        <v>3</v>
      </c>
    </row>
    <row r="23" customFormat="false" ht="14.25" hidden="true" customHeight="false" outlineLevel="0" collapsed="false">
      <c r="A23" s="7" t="s">
        <v>11</v>
      </c>
      <c r="B23" s="7" t="s">
        <v>17</v>
      </c>
      <c r="C23" s="38" t="s">
        <v>18</v>
      </c>
      <c r="D23" s="5" t="s">
        <v>206</v>
      </c>
      <c r="E23" s="7" t="s">
        <v>207</v>
      </c>
      <c r="F23" s="7" t="s">
        <v>208</v>
      </c>
      <c r="G23" s="45">
        <v>1.5</v>
      </c>
      <c r="H23" s="46">
        <v>3.74</v>
      </c>
      <c r="I23" s="47" t="s">
        <v>16</v>
      </c>
      <c r="J23" s="7"/>
      <c r="K23" s="48">
        <v>5.24</v>
      </c>
    </row>
    <row r="24" customFormat="false" ht="14.25" hidden="true" customHeight="false" outlineLevel="0" collapsed="false">
      <c r="A24" s="7" t="s">
        <v>11</v>
      </c>
      <c r="B24" s="7" t="s">
        <v>17</v>
      </c>
      <c r="C24" s="38" t="s">
        <v>18</v>
      </c>
      <c r="D24" s="5" t="s">
        <v>220</v>
      </c>
      <c r="E24" s="7" t="s">
        <v>173</v>
      </c>
      <c r="F24" s="7" t="s">
        <v>221</v>
      </c>
      <c r="G24" s="45"/>
      <c r="H24" s="46">
        <v>3.74</v>
      </c>
      <c r="I24" s="47"/>
      <c r="J24" s="7"/>
      <c r="K24" s="48">
        <v>3.74</v>
      </c>
    </row>
    <row r="25" customFormat="false" ht="14.25" hidden="true" customHeight="false" outlineLevel="0" collapsed="false">
      <c r="A25" s="7" t="s">
        <v>11</v>
      </c>
      <c r="B25" s="7" t="s">
        <v>105</v>
      </c>
      <c r="C25" s="38" t="s">
        <v>32</v>
      </c>
      <c r="D25" s="5" t="s">
        <v>230</v>
      </c>
      <c r="E25" s="7" t="s">
        <v>231</v>
      </c>
      <c r="F25" s="7" t="s">
        <v>232</v>
      </c>
      <c r="G25" s="45">
        <v>1.5</v>
      </c>
      <c r="H25" s="46">
        <v>3</v>
      </c>
      <c r="I25" s="47" t="s">
        <v>16</v>
      </c>
      <c r="J25" s="7"/>
      <c r="K25" s="48">
        <v>4.5</v>
      </c>
    </row>
    <row r="26" customFormat="false" ht="14.25" hidden="true" customHeight="false" outlineLevel="0" collapsed="false">
      <c r="A26" s="7" t="s">
        <v>11</v>
      </c>
      <c r="B26" s="7" t="s">
        <v>31</v>
      </c>
      <c r="C26" s="38" t="s">
        <v>32</v>
      </c>
      <c r="D26" s="5" t="s">
        <v>236</v>
      </c>
      <c r="E26" s="7" t="s">
        <v>237</v>
      </c>
      <c r="F26" s="7" t="s">
        <v>238</v>
      </c>
      <c r="G26" s="45">
        <v>1.5</v>
      </c>
      <c r="H26" s="46">
        <v>3</v>
      </c>
      <c r="I26" s="47" t="s">
        <v>16</v>
      </c>
      <c r="J26" s="7"/>
      <c r="K26" s="48">
        <v>4.5</v>
      </c>
    </row>
    <row r="27" customFormat="false" ht="14.25" hidden="true" customHeight="false" outlineLevel="0" collapsed="false">
      <c r="A27" s="7" t="s">
        <v>315</v>
      </c>
      <c r="B27" s="7" t="s">
        <v>105</v>
      </c>
      <c r="C27" s="38" t="s">
        <v>32</v>
      </c>
      <c r="D27" s="5" t="s">
        <v>247</v>
      </c>
      <c r="E27" s="7" t="s">
        <v>248</v>
      </c>
      <c r="F27" s="7" t="s">
        <v>249</v>
      </c>
      <c r="G27" s="45">
        <v>1.5</v>
      </c>
      <c r="H27" s="46">
        <v>3</v>
      </c>
      <c r="I27" s="47" t="s">
        <v>16</v>
      </c>
      <c r="J27" s="7"/>
      <c r="K27" s="48">
        <v>4.5</v>
      </c>
    </row>
    <row r="28" customFormat="false" ht="14.25" hidden="false" customHeight="false" outlineLevel="0" collapsed="false">
      <c r="A28" s="7" t="s">
        <v>59</v>
      </c>
      <c r="B28" s="7" t="s">
        <v>60</v>
      </c>
      <c r="C28" s="38">
        <v>34</v>
      </c>
      <c r="D28" s="5" t="s">
        <v>316</v>
      </c>
      <c r="E28" s="7" t="s">
        <v>317</v>
      </c>
      <c r="F28" s="7" t="s">
        <v>318</v>
      </c>
      <c r="G28" s="46">
        <v>1.62</v>
      </c>
      <c r="H28" s="46">
        <v>8.85</v>
      </c>
      <c r="I28" s="47" t="s">
        <v>16</v>
      </c>
      <c r="J28" s="47"/>
      <c r="K28" s="48">
        <v>10.47</v>
      </c>
    </row>
    <row r="29" customFormat="false" ht="14.25" hidden="false" customHeight="false" outlineLevel="0" collapsed="false">
      <c r="A29" s="7" t="s">
        <v>59</v>
      </c>
      <c r="B29" s="7" t="s">
        <v>60</v>
      </c>
      <c r="C29" s="38">
        <v>34</v>
      </c>
      <c r="D29" s="5" t="s">
        <v>61</v>
      </c>
      <c r="E29" s="7" t="s">
        <v>62</v>
      </c>
      <c r="F29" s="7" t="s">
        <v>63</v>
      </c>
      <c r="G29" s="46">
        <v>1.62</v>
      </c>
      <c r="H29" s="46">
        <v>8.85</v>
      </c>
      <c r="I29" s="47" t="s">
        <v>16</v>
      </c>
      <c r="J29" s="7"/>
      <c r="K29" s="48">
        <v>10.47</v>
      </c>
    </row>
    <row r="30" customFormat="false" ht="14.25" hidden="true" customHeight="false" outlineLevel="0" collapsed="false">
      <c r="A30" s="7" t="s">
        <v>67</v>
      </c>
      <c r="B30" s="7" t="s">
        <v>67</v>
      </c>
      <c r="C30" s="38">
        <v>34</v>
      </c>
      <c r="D30" s="5" t="s">
        <v>68</v>
      </c>
      <c r="E30" s="7" t="s">
        <v>69</v>
      </c>
      <c r="F30" s="7" t="s">
        <v>70</v>
      </c>
      <c r="G30" s="46"/>
      <c r="H30" s="46">
        <v>8.85</v>
      </c>
      <c r="I30" s="7"/>
      <c r="J30" s="7"/>
      <c r="K30" s="48">
        <v>8.85</v>
      </c>
    </row>
    <row r="31" customFormat="false" ht="14.25" hidden="false" customHeight="false" outlineLevel="0" collapsed="false">
      <c r="A31" s="7" t="s">
        <v>11</v>
      </c>
      <c r="B31" s="7" t="s">
        <v>71</v>
      </c>
      <c r="C31" s="38">
        <v>34</v>
      </c>
      <c r="D31" s="5" t="s">
        <v>72</v>
      </c>
      <c r="E31" s="7" t="s">
        <v>73</v>
      </c>
      <c r="F31" s="7" t="s">
        <v>74</v>
      </c>
      <c r="G31" s="46">
        <v>1.62</v>
      </c>
      <c r="H31" s="46">
        <v>8.85</v>
      </c>
      <c r="I31" s="47" t="s">
        <v>16</v>
      </c>
      <c r="J31" s="7"/>
      <c r="K31" s="48">
        <v>10.47</v>
      </c>
    </row>
    <row r="32" customFormat="false" ht="14.25" hidden="false" customHeight="false" outlineLevel="0" collapsed="false">
      <c r="A32" s="7" t="s">
        <v>67</v>
      </c>
      <c r="B32" s="7" t="s">
        <v>67</v>
      </c>
      <c r="C32" s="38">
        <v>34</v>
      </c>
      <c r="D32" s="5" t="s">
        <v>75</v>
      </c>
      <c r="E32" s="7" t="s">
        <v>76</v>
      </c>
      <c r="F32" s="7" t="s">
        <v>77</v>
      </c>
      <c r="G32" s="46">
        <v>1.62</v>
      </c>
      <c r="H32" s="46">
        <v>8.85</v>
      </c>
      <c r="I32" s="47" t="s">
        <v>16</v>
      </c>
      <c r="J32" s="7"/>
      <c r="K32" s="48">
        <v>10.47</v>
      </c>
    </row>
    <row r="33" customFormat="false" ht="14.25" hidden="true" customHeight="false" outlineLevel="0" collapsed="false">
      <c r="A33" s="7" t="s">
        <v>67</v>
      </c>
      <c r="B33" s="7" t="s">
        <v>67</v>
      </c>
      <c r="C33" s="38">
        <v>34</v>
      </c>
      <c r="D33" s="5" t="s">
        <v>78</v>
      </c>
      <c r="E33" s="7" t="s">
        <v>79</v>
      </c>
      <c r="F33" s="7" t="s">
        <v>80</v>
      </c>
      <c r="G33" s="46"/>
      <c r="H33" s="46">
        <v>8.85</v>
      </c>
      <c r="I33" s="7"/>
      <c r="J33" s="7"/>
      <c r="K33" s="48">
        <v>8.85</v>
      </c>
    </row>
    <row r="34" customFormat="false" ht="14.25" hidden="true" customHeight="false" outlineLevel="0" collapsed="false">
      <c r="A34" s="7" t="s">
        <v>59</v>
      </c>
      <c r="B34" s="7" t="s">
        <v>60</v>
      </c>
      <c r="C34" s="38">
        <v>34</v>
      </c>
      <c r="D34" s="5" t="s">
        <v>81</v>
      </c>
      <c r="E34" s="7" t="s">
        <v>82</v>
      </c>
      <c r="F34" s="7" t="s">
        <v>83</v>
      </c>
      <c r="G34" s="46"/>
      <c r="H34" s="46">
        <v>8.85</v>
      </c>
      <c r="I34" s="7"/>
      <c r="J34" s="7"/>
      <c r="K34" s="48">
        <v>8.85</v>
      </c>
    </row>
    <row r="35" customFormat="false" ht="14.25" hidden="false" customHeight="false" outlineLevel="0" collapsed="false">
      <c r="A35" s="7" t="s">
        <v>67</v>
      </c>
      <c r="B35" s="7" t="s">
        <v>67</v>
      </c>
      <c r="C35" s="38">
        <v>34</v>
      </c>
      <c r="D35" s="5" t="s">
        <v>87</v>
      </c>
      <c r="E35" s="7" t="s">
        <v>88</v>
      </c>
      <c r="F35" s="7" t="s">
        <v>70</v>
      </c>
      <c r="G35" s="46">
        <v>1.62</v>
      </c>
      <c r="H35" s="46">
        <v>8.85</v>
      </c>
      <c r="I35" s="47" t="s">
        <v>16</v>
      </c>
      <c r="J35" s="7"/>
      <c r="K35" s="48">
        <v>10.47</v>
      </c>
    </row>
    <row r="36" customFormat="false" ht="14.25" hidden="false" customHeight="false" outlineLevel="0" collapsed="false">
      <c r="A36" s="7" t="s">
        <v>11</v>
      </c>
      <c r="B36" s="7" t="s">
        <v>319</v>
      </c>
      <c r="C36" s="38">
        <v>34</v>
      </c>
      <c r="D36" s="5" t="s">
        <v>320</v>
      </c>
      <c r="E36" s="7" t="s">
        <v>173</v>
      </c>
      <c r="F36" s="7" t="s">
        <v>321</v>
      </c>
      <c r="G36" s="46">
        <v>1.62</v>
      </c>
      <c r="H36" s="46">
        <v>8.85</v>
      </c>
      <c r="I36" s="47" t="s">
        <v>16</v>
      </c>
      <c r="J36" s="7"/>
      <c r="K36" s="48">
        <v>10.47</v>
      </c>
    </row>
    <row r="37" customFormat="false" ht="14.25" hidden="true" customHeight="false" outlineLevel="0" collapsed="false">
      <c r="A37" s="7" t="s">
        <v>11</v>
      </c>
      <c r="B37" s="7" t="s">
        <v>71</v>
      </c>
      <c r="C37" s="38">
        <v>34</v>
      </c>
      <c r="D37" s="5" t="s">
        <v>322</v>
      </c>
      <c r="E37" s="7" t="s">
        <v>219</v>
      </c>
      <c r="F37" s="7" t="s">
        <v>323</v>
      </c>
      <c r="G37" s="46"/>
      <c r="H37" s="46">
        <v>8.85</v>
      </c>
      <c r="I37" s="7"/>
      <c r="J37" s="7"/>
      <c r="K37" s="48">
        <v>8.85</v>
      </c>
    </row>
    <row r="38" customFormat="false" ht="14.25" hidden="true" customHeight="false" outlineLevel="0" collapsed="false">
      <c r="A38" s="7" t="s">
        <v>67</v>
      </c>
      <c r="B38" s="7" t="s">
        <v>67</v>
      </c>
      <c r="C38" s="38">
        <v>34</v>
      </c>
      <c r="D38" s="5" t="s">
        <v>109</v>
      </c>
      <c r="E38" s="7" t="s">
        <v>110</v>
      </c>
      <c r="F38" s="7" t="s">
        <v>70</v>
      </c>
      <c r="G38" s="46"/>
      <c r="H38" s="46">
        <v>8.85</v>
      </c>
      <c r="I38" s="7"/>
      <c r="J38" s="7"/>
      <c r="K38" s="48">
        <v>8.85</v>
      </c>
    </row>
    <row r="39" customFormat="false" ht="14.25" hidden="false" customHeight="false" outlineLevel="0" collapsed="false">
      <c r="A39" s="7" t="s">
        <v>59</v>
      </c>
      <c r="B39" s="7" t="s">
        <v>60</v>
      </c>
      <c r="C39" s="38">
        <v>34</v>
      </c>
      <c r="D39" s="5" t="s">
        <v>111</v>
      </c>
      <c r="E39" s="7" t="s">
        <v>112</v>
      </c>
      <c r="F39" s="7" t="s">
        <v>113</v>
      </c>
      <c r="G39" s="46">
        <v>1.62</v>
      </c>
      <c r="H39" s="46">
        <v>8.85</v>
      </c>
      <c r="I39" s="47" t="s">
        <v>16</v>
      </c>
      <c r="J39" s="7"/>
      <c r="K39" s="48">
        <v>10.47</v>
      </c>
    </row>
    <row r="40" customFormat="false" ht="14.25" hidden="true" customHeight="false" outlineLevel="0" collapsed="false">
      <c r="A40" s="7" t="s">
        <v>67</v>
      </c>
      <c r="B40" s="7" t="s">
        <v>67</v>
      </c>
      <c r="C40" s="38">
        <v>34</v>
      </c>
      <c r="D40" s="5" t="s">
        <v>114</v>
      </c>
      <c r="E40" s="7" t="s">
        <v>137</v>
      </c>
      <c r="F40" s="7" t="s">
        <v>116</v>
      </c>
      <c r="G40" s="46"/>
      <c r="H40" s="46">
        <v>8.85</v>
      </c>
      <c r="I40" s="7"/>
      <c r="J40" s="7"/>
      <c r="K40" s="48">
        <v>8.85</v>
      </c>
    </row>
    <row r="41" customFormat="false" ht="14.25" hidden="false" customHeight="false" outlineLevel="0" collapsed="false">
      <c r="A41" s="7" t="s">
        <v>59</v>
      </c>
      <c r="B41" s="7" t="s">
        <v>60</v>
      </c>
      <c r="C41" s="38">
        <v>34</v>
      </c>
      <c r="D41" s="5" t="s">
        <v>324</v>
      </c>
      <c r="E41" s="7" t="s">
        <v>325</v>
      </c>
      <c r="F41" s="7" t="s">
        <v>326</v>
      </c>
      <c r="G41" s="46">
        <v>1.62</v>
      </c>
      <c r="H41" s="46">
        <v>8.85</v>
      </c>
      <c r="I41" s="47" t="s">
        <v>16</v>
      </c>
      <c r="J41" s="7"/>
      <c r="K41" s="48">
        <v>10.47</v>
      </c>
    </row>
    <row r="42" customFormat="false" ht="14.25" hidden="false" customHeight="false" outlineLevel="0" collapsed="false">
      <c r="A42" s="7" t="s">
        <v>11</v>
      </c>
      <c r="B42" s="7" t="s">
        <v>71</v>
      </c>
      <c r="C42" s="38">
        <v>34</v>
      </c>
      <c r="D42" s="5" t="s">
        <v>139</v>
      </c>
      <c r="E42" s="7" t="s">
        <v>118</v>
      </c>
      <c r="F42" s="7" t="s">
        <v>140</v>
      </c>
      <c r="G42" s="46">
        <v>1.62</v>
      </c>
      <c r="H42" s="46">
        <v>8.85</v>
      </c>
      <c r="I42" s="47" t="s">
        <v>16</v>
      </c>
      <c r="J42" s="7"/>
      <c r="K42" s="48">
        <v>10.47</v>
      </c>
    </row>
    <row r="43" customFormat="false" ht="14.25" hidden="false" customHeight="false" outlineLevel="0" collapsed="false">
      <c r="A43" s="7" t="s">
        <v>126</v>
      </c>
      <c r="B43" s="7" t="s">
        <v>141</v>
      </c>
      <c r="C43" s="38">
        <v>34</v>
      </c>
      <c r="D43" s="5" t="s">
        <v>142</v>
      </c>
      <c r="E43" s="7" t="s">
        <v>143</v>
      </c>
      <c r="F43" s="7" t="s">
        <v>144</v>
      </c>
      <c r="G43" s="46">
        <v>1.62</v>
      </c>
      <c r="H43" s="46">
        <v>8.85</v>
      </c>
      <c r="I43" s="47" t="s">
        <v>16</v>
      </c>
      <c r="J43" s="7"/>
      <c r="K43" s="48">
        <v>10.47</v>
      </c>
    </row>
    <row r="44" customFormat="false" ht="14.25" hidden="false" customHeight="false" outlineLevel="0" collapsed="false">
      <c r="A44" s="7" t="s">
        <v>11</v>
      </c>
      <c r="B44" s="7" t="s">
        <v>71</v>
      </c>
      <c r="C44" s="38">
        <v>34</v>
      </c>
      <c r="D44" s="5" t="s">
        <v>151</v>
      </c>
      <c r="E44" s="7" t="s">
        <v>152</v>
      </c>
      <c r="F44" s="7" t="s">
        <v>153</v>
      </c>
      <c r="G44" s="46">
        <v>1.62</v>
      </c>
      <c r="H44" s="46">
        <v>8.85</v>
      </c>
      <c r="I44" s="47" t="s">
        <v>16</v>
      </c>
      <c r="J44" s="7"/>
      <c r="K44" s="48">
        <v>10.47</v>
      </c>
    </row>
    <row r="45" customFormat="false" ht="14.25" hidden="false" customHeight="false" outlineLevel="0" collapsed="false">
      <c r="A45" s="7" t="s">
        <v>67</v>
      </c>
      <c r="B45" s="7" t="s">
        <v>67</v>
      </c>
      <c r="C45" s="38">
        <v>34</v>
      </c>
      <c r="D45" s="5" t="s">
        <v>159</v>
      </c>
      <c r="E45" s="7" t="s">
        <v>160</v>
      </c>
      <c r="F45" s="7" t="s">
        <v>70</v>
      </c>
      <c r="G45" s="46">
        <v>1.62</v>
      </c>
      <c r="H45" s="46">
        <v>8.85</v>
      </c>
      <c r="I45" s="47" t="s">
        <v>16</v>
      </c>
      <c r="J45" s="7"/>
      <c r="K45" s="48">
        <v>10.47</v>
      </c>
    </row>
    <row r="46" customFormat="false" ht="14.25" hidden="true" customHeight="false" outlineLevel="0" collapsed="false">
      <c r="A46" s="7" t="s">
        <v>67</v>
      </c>
      <c r="B46" s="7" t="s">
        <v>67</v>
      </c>
      <c r="C46" s="38">
        <v>34</v>
      </c>
      <c r="D46" s="5" t="s">
        <v>161</v>
      </c>
      <c r="E46" s="7" t="s">
        <v>162</v>
      </c>
      <c r="F46" s="7" t="s">
        <v>70</v>
      </c>
      <c r="G46" s="46"/>
      <c r="H46" s="46">
        <v>8.85</v>
      </c>
      <c r="I46" s="7"/>
      <c r="J46" s="7"/>
      <c r="K46" s="48">
        <v>8.85</v>
      </c>
    </row>
    <row r="47" customFormat="false" ht="14.25" hidden="true" customHeight="false" outlineLevel="0" collapsed="false">
      <c r="A47" s="7" t="s">
        <v>11</v>
      </c>
      <c r="B47" s="7" t="s">
        <v>71</v>
      </c>
      <c r="C47" s="38">
        <v>34</v>
      </c>
      <c r="D47" s="5" t="s">
        <v>178</v>
      </c>
      <c r="E47" s="7" t="s">
        <v>179</v>
      </c>
      <c r="F47" s="7" t="s">
        <v>180</v>
      </c>
      <c r="G47" s="46"/>
      <c r="H47" s="46">
        <v>8.85</v>
      </c>
      <c r="I47" s="47"/>
      <c r="J47" s="7"/>
      <c r="K47" s="48">
        <v>8.85</v>
      </c>
    </row>
    <row r="48" customFormat="false" ht="14.25" hidden="false" customHeight="false" outlineLevel="0" collapsed="false">
      <c r="A48" s="7" t="s">
        <v>11</v>
      </c>
      <c r="B48" s="7" t="s">
        <v>71</v>
      </c>
      <c r="C48" s="38">
        <v>34</v>
      </c>
      <c r="D48" s="5" t="s">
        <v>213</v>
      </c>
      <c r="E48" s="7" t="s">
        <v>214</v>
      </c>
      <c r="F48" s="7" t="s">
        <v>35</v>
      </c>
      <c r="G48" s="46">
        <v>1.62</v>
      </c>
      <c r="H48" s="46">
        <v>8.85</v>
      </c>
      <c r="I48" s="47" t="s">
        <v>16</v>
      </c>
      <c r="J48" s="7"/>
      <c r="K48" s="48">
        <v>10.47</v>
      </c>
    </row>
    <row r="49" customFormat="false" ht="14.25" hidden="true" customHeight="false" outlineLevel="0" collapsed="false">
      <c r="A49" s="7" t="s">
        <v>11</v>
      </c>
      <c r="B49" s="7" t="s">
        <v>71</v>
      </c>
      <c r="C49" s="38">
        <v>34</v>
      </c>
      <c r="D49" s="5" t="s">
        <v>225</v>
      </c>
      <c r="E49" s="7" t="s">
        <v>118</v>
      </c>
      <c r="F49" s="7" t="s">
        <v>226</v>
      </c>
      <c r="G49" s="46"/>
      <c r="H49" s="46">
        <v>8.85</v>
      </c>
      <c r="I49" s="7"/>
      <c r="J49" s="7"/>
      <c r="K49" s="48">
        <v>8.85</v>
      </c>
    </row>
    <row r="50" customFormat="false" ht="14.25" hidden="false" customHeight="false" outlineLevel="0" collapsed="false">
      <c r="A50" s="7" t="s">
        <v>11</v>
      </c>
      <c r="B50" s="7" t="s">
        <v>71</v>
      </c>
      <c r="C50" s="38">
        <v>34</v>
      </c>
      <c r="D50" s="5" t="s">
        <v>227</v>
      </c>
      <c r="E50" s="7" t="s">
        <v>228</v>
      </c>
      <c r="F50" s="7" t="s">
        <v>229</v>
      </c>
      <c r="G50" s="46">
        <v>1.62</v>
      </c>
      <c r="H50" s="46">
        <v>8.85</v>
      </c>
      <c r="I50" s="47" t="s">
        <v>16</v>
      </c>
      <c r="J50" s="7"/>
      <c r="K50" s="48">
        <v>10.47</v>
      </c>
    </row>
    <row r="51" customFormat="false" ht="14.25" hidden="false" customHeight="false" outlineLevel="0" collapsed="false">
      <c r="A51" s="7" t="s">
        <v>11</v>
      </c>
      <c r="B51" s="7" t="s">
        <v>71</v>
      </c>
      <c r="C51" s="38">
        <v>34</v>
      </c>
      <c r="D51" s="5" t="s">
        <v>239</v>
      </c>
      <c r="E51" s="7" t="s">
        <v>240</v>
      </c>
      <c r="F51" s="7" t="s">
        <v>241</v>
      </c>
      <c r="G51" s="46">
        <v>1.62</v>
      </c>
      <c r="H51" s="46">
        <v>8.85</v>
      </c>
      <c r="I51" s="47" t="s">
        <v>16</v>
      </c>
      <c r="J51" s="7"/>
      <c r="K51" s="48">
        <v>10.47</v>
      </c>
    </row>
    <row r="52" customFormat="false" ht="14.25" hidden="true" customHeight="false" outlineLevel="0" collapsed="false">
      <c r="A52" s="7" t="s">
        <v>50</v>
      </c>
      <c r="B52" s="7" t="s">
        <v>55</v>
      </c>
      <c r="C52" s="38">
        <v>13</v>
      </c>
      <c r="D52" s="5" t="s">
        <v>56</v>
      </c>
      <c r="E52" s="7" t="s">
        <v>57</v>
      </c>
      <c r="F52" s="7" t="s">
        <v>58</v>
      </c>
      <c r="G52" s="46">
        <v>1.62</v>
      </c>
      <c r="H52" s="46">
        <v>3.4</v>
      </c>
      <c r="I52" s="47" t="s">
        <v>16</v>
      </c>
      <c r="J52" s="47"/>
      <c r="K52" s="48">
        <v>5.02</v>
      </c>
    </row>
    <row r="53" customFormat="false" ht="14.25" hidden="true" customHeight="false" outlineLevel="0" collapsed="false">
      <c r="A53" s="7" t="s">
        <v>50</v>
      </c>
      <c r="B53" s="7" t="s">
        <v>50</v>
      </c>
      <c r="C53" s="38">
        <v>13</v>
      </c>
      <c r="D53" s="5" t="s">
        <v>98</v>
      </c>
      <c r="E53" s="7" t="s">
        <v>99</v>
      </c>
      <c r="F53" s="7" t="s">
        <v>70</v>
      </c>
      <c r="G53" s="46">
        <v>1.62</v>
      </c>
      <c r="H53" s="46">
        <v>3.4</v>
      </c>
      <c r="I53" s="47" t="s">
        <v>16</v>
      </c>
      <c r="J53" s="7"/>
      <c r="K53" s="48">
        <v>5.02</v>
      </c>
    </row>
    <row r="54" customFormat="false" ht="14.25" hidden="true" customHeight="false" outlineLevel="0" collapsed="false">
      <c r="A54" s="7" t="s">
        <v>50</v>
      </c>
      <c r="B54" s="7" t="s">
        <v>55</v>
      </c>
      <c r="C54" s="38">
        <v>13</v>
      </c>
      <c r="D54" s="5" t="s">
        <v>154</v>
      </c>
      <c r="E54" s="7" t="s">
        <v>128</v>
      </c>
      <c r="F54" s="7" t="s">
        <v>155</v>
      </c>
      <c r="G54" s="46">
        <v>1.62</v>
      </c>
      <c r="H54" s="46">
        <v>3.4</v>
      </c>
      <c r="I54" s="47" t="s">
        <v>16</v>
      </c>
      <c r="J54" s="7"/>
      <c r="K54" s="48">
        <v>5.02</v>
      </c>
    </row>
    <row r="55" customFormat="false" ht="14.25" hidden="false" customHeight="false" outlineLevel="0" collapsed="false">
      <c r="D55" s="49"/>
    </row>
    <row r="56" customFormat="false" ht="14.25" hidden="false" customHeight="false" outlineLevel="0" collapsed="false">
      <c r="D56" s="49"/>
    </row>
    <row r="57" customFormat="false" ht="14.25" hidden="false" customHeight="false" outlineLevel="0" collapsed="false">
      <c r="D57" s="49"/>
    </row>
    <row r="58" customFormat="false" ht="14.25" hidden="false" customHeight="false" outlineLevel="0" collapsed="false">
      <c r="D58" s="49"/>
    </row>
    <row r="59" customFormat="false" ht="46.25" hidden="false" customHeight="false" outlineLevel="0" collapsed="false">
      <c r="A59" s="2" t="s">
        <v>0</v>
      </c>
      <c r="B59" s="4" t="s">
        <v>10</v>
      </c>
      <c r="C59" s="2" t="s">
        <v>327</v>
      </c>
      <c r="D59" s="4" t="s">
        <v>10</v>
      </c>
      <c r="E59" s="4" t="s">
        <v>10</v>
      </c>
      <c r="F59" s="4" t="s">
        <v>10</v>
      </c>
    </row>
    <row r="60" customFormat="false" ht="14.25" hidden="false" customHeight="false" outlineLevel="0" collapsed="false">
      <c r="D60" s="49"/>
    </row>
    <row r="61" customFormat="false" ht="14.25" hidden="false" customHeight="false" outlineLevel="0" collapsed="false">
      <c r="D61" s="49"/>
    </row>
  </sheetData>
  <autoFilter ref="A1:K54">
    <filterColumn colId="10">
      <filters>
        <filter val="10,47 €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9.59765625" defaultRowHeight="14.25" customHeight="false" zeroHeight="false" outlineLevelRow="0" outlineLevelCol="0"/>
  <cols>
    <col collapsed="false" customWidth="true" hidden="false" outlineLevel="0" max="1" min="1" style="1" width="12.44"/>
    <col collapsed="false" customWidth="true" hidden="false" outlineLevel="0" max="3" min="3" style="1" width="12.56"/>
    <col collapsed="false" customWidth="true" hidden="false" outlineLevel="0" max="4" min="4" style="1" width="13.43"/>
    <col collapsed="false" customWidth="true" hidden="false" outlineLevel="0" max="6" min="5" style="1" width="18"/>
    <col collapsed="false" customWidth="true" hidden="false" outlineLevel="0" max="7" min="7" style="1" width="32.66"/>
    <col collapsed="false" customWidth="true" hidden="false" outlineLevel="0" max="8" min="8" style="1" width="63.66"/>
    <col collapsed="false" customWidth="true" hidden="false" outlineLevel="0" max="10" min="10" style="1" width="13.66"/>
    <col collapsed="false" customWidth="true" hidden="false" outlineLevel="0" max="11" min="11" style="1" width="27.99"/>
  </cols>
  <sheetData>
    <row r="1" customFormat="false" ht="38.25" hidden="false" customHeight="true" outlineLevel="0" collapsed="false">
      <c r="A1" s="50"/>
      <c r="B1" s="50" t="s">
        <v>328</v>
      </c>
      <c r="C1" s="50" t="s">
        <v>329</v>
      </c>
      <c r="D1" s="50" t="s">
        <v>330</v>
      </c>
      <c r="E1" s="51" t="s">
        <v>331</v>
      </c>
      <c r="F1" s="51" t="s">
        <v>332</v>
      </c>
      <c r="G1" s="51" t="s">
        <v>333</v>
      </c>
      <c r="H1" s="51" t="s">
        <v>261</v>
      </c>
      <c r="I1" s="52"/>
      <c r="J1" s="52"/>
      <c r="K1" s="52"/>
      <c r="L1" s="52"/>
    </row>
    <row r="2" customFormat="false" ht="15.75" hidden="true" customHeight="true" outlineLevel="0" collapsed="false">
      <c r="A2" s="53" t="s">
        <v>11</v>
      </c>
      <c r="B2" s="54" t="s">
        <v>305</v>
      </c>
      <c r="C2" s="55">
        <v>6</v>
      </c>
      <c r="D2" s="55">
        <v>3.91</v>
      </c>
      <c r="E2" s="53" t="s">
        <v>334</v>
      </c>
      <c r="F2" s="54" t="s">
        <v>335</v>
      </c>
      <c r="G2" s="54" t="s">
        <v>336</v>
      </c>
      <c r="H2" s="56" t="s">
        <v>337</v>
      </c>
      <c r="I2" s="56"/>
      <c r="J2" s="56" t="s">
        <v>334</v>
      </c>
      <c r="K2" s="56"/>
      <c r="L2" s="56"/>
    </row>
    <row r="3" customFormat="false" ht="15.75" hidden="true" customHeight="true" outlineLevel="0" collapsed="false">
      <c r="A3" s="53" t="s">
        <v>11</v>
      </c>
      <c r="B3" s="54" t="s">
        <v>305</v>
      </c>
      <c r="C3" s="55">
        <v>6</v>
      </c>
      <c r="D3" s="55">
        <v>3.91</v>
      </c>
      <c r="E3" s="53" t="s">
        <v>338</v>
      </c>
      <c r="F3" s="54" t="s">
        <v>103</v>
      </c>
      <c r="G3" s="54" t="s">
        <v>339</v>
      </c>
      <c r="H3" s="56" t="s">
        <v>340</v>
      </c>
      <c r="I3" s="56"/>
      <c r="J3" s="56"/>
      <c r="K3" s="56"/>
      <c r="L3" s="56"/>
    </row>
    <row r="4" customFormat="false" ht="15.75" hidden="true" customHeight="true" outlineLevel="0" collapsed="false">
      <c r="A4" s="53" t="s">
        <v>11</v>
      </c>
      <c r="B4" s="54" t="s">
        <v>305</v>
      </c>
      <c r="C4" s="55">
        <v>6</v>
      </c>
      <c r="D4" s="55">
        <v>3.91</v>
      </c>
      <c r="E4" s="53" t="s">
        <v>334</v>
      </c>
      <c r="F4" s="54" t="s">
        <v>335</v>
      </c>
      <c r="G4" s="54" t="s">
        <v>341</v>
      </c>
      <c r="H4" s="56"/>
      <c r="I4" s="56"/>
      <c r="J4" s="56"/>
      <c r="K4" s="56"/>
      <c r="L4" s="56"/>
    </row>
    <row r="5" customFormat="false" ht="15.75" hidden="true" customHeight="true" outlineLevel="0" collapsed="false">
      <c r="A5" s="53" t="s">
        <v>11</v>
      </c>
      <c r="B5" s="54" t="s">
        <v>305</v>
      </c>
      <c r="C5" s="55">
        <v>6</v>
      </c>
      <c r="D5" s="55">
        <v>3.91</v>
      </c>
      <c r="E5" s="53" t="s">
        <v>342</v>
      </c>
      <c r="F5" s="54" t="s">
        <v>103</v>
      </c>
      <c r="G5" s="54" t="s">
        <v>343</v>
      </c>
      <c r="H5" s="56"/>
      <c r="I5" s="56"/>
      <c r="J5" s="56"/>
      <c r="K5" s="56"/>
      <c r="L5" s="56"/>
    </row>
    <row r="6" customFormat="false" ht="15.75" hidden="true" customHeight="true" outlineLevel="0" collapsed="false">
      <c r="A6" s="53" t="s">
        <v>11</v>
      </c>
      <c r="B6" s="54" t="s">
        <v>305</v>
      </c>
      <c r="C6" s="55">
        <v>6</v>
      </c>
      <c r="D6" s="55">
        <v>3.91</v>
      </c>
      <c r="E6" s="53" t="s">
        <v>344</v>
      </c>
      <c r="F6" s="54" t="s">
        <v>65</v>
      </c>
      <c r="G6" s="54" t="s">
        <v>345</v>
      </c>
      <c r="H6" s="56"/>
      <c r="I6" s="56"/>
      <c r="J6" s="56"/>
      <c r="K6" s="56"/>
      <c r="L6" s="56"/>
    </row>
    <row r="7" customFormat="false" ht="15.75" hidden="true" customHeight="true" outlineLevel="0" collapsed="false">
      <c r="A7" s="57" t="s">
        <v>11</v>
      </c>
      <c r="B7" s="58" t="s">
        <v>27</v>
      </c>
      <c r="C7" s="59">
        <v>13</v>
      </c>
      <c r="D7" s="59">
        <v>3.4</v>
      </c>
      <c r="E7" s="57" t="s">
        <v>28</v>
      </c>
      <c r="F7" s="58" t="s">
        <v>29</v>
      </c>
      <c r="G7" s="58" t="s">
        <v>30</v>
      </c>
      <c r="H7" s="60" t="s">
        <v>309</v>
      </c>
      <c r="I7" s="60"/>
      <c r="J7" s="60" t="s">
        <v>233</v>
      </c>
      <c r="K7" s="60"/>
      <c r="L7" s="60"/>
    </row>
    <row r="8" customFormat="false" ht="15.75" hidden="true" customHeight="true" outlineLevel="0" collapsed="false">
      <c r="A8" s="57" t="s">
        <v>11</v>
      </c>
      <c r="B8" s="58" t="s">
        <v>27</v>
      </c>
      <c r="C8" s="59">
        <v>13</v>
      </c>
      <c r="D8" s="59">
        <v>3.4</v>
      </c>
      <c r="E8" s="57" t="s">
        <v>47</v>
      </c>
      <c r="F8" s="58" t="s">
        <v>48</v>
      </c>
      <c r="G8" s="58" t="s">
        <v>49</v>
      </c>
      <c r="H8" s="60" t="s">
        <v>346</v>
      </c>
      <c r="I8" s="60"/>
      <c r="J8" s="60"/>
      <c r="K8" s="60"/>
      <c r="L8" s="60"/>
    </row>
    <row r="9" customFormat="false" ht="15.75" hidden="true" customHeight="true" outlineLevel="0" collapsed="false">
      <c r="A9" s="57" t="s">
        <v>11</v>
      </c>
      <c r="B9" s="58" t="s">
        <v>27</v>
      </c>
      <c r="C9" s="59">
        <v>13</v>
      </c>
      <c r="D9" s="59">
        <v>3.4</v>
      </c>
      <c r="E9" s="57" t="s">
        <v>64</v>
      </c>
      <c r="F9" s="58" t="s">
        <v>65</v>
      </c>
      <c r="G9" s="58" t="s">
        <v>66</v>
      </c>
      <c r="H9" s="60"/>
      <c r="I9" s="60"/>
      <c r="J9" s="60"/>
      <c r="K9" s="60"/>
      <c r="L9" s="60"/>
    </row>
    <row r="10" customFormat="false" ht="15.75" hidden="true" customHeight="true" outlineLevel="0" collapsed="false">
      <c r="A10" s="57" t="s">
        <v>11</v>
      </c>
      <c r="B10" s="58" t="s">
        <v>27</v>
      </c>
      <c r="C10" s="59">
        <v>13</v>
      </c>
      <c r="D10" s="59">
        <v>3.4</v>
      </c>
      <c r="E10" s="57" t="s">
        <v>250</v>
      </c>
      <c r="F10" s="58" t="s">
        <v>65</v>
      </c>
      <c r="G10" s="58" t="s">
        <v>251</v>
      </c>
      <c r="H10" s="60"/>
      <c r="I10" s="60"/>
      <c r="J10" s="60"/>
      <c r="K10" s="60"/>
      <c r="L10" s="60"/>
    </row>
    <row r="11" customFormat="false" ht="15.75" hidden="true" customHeight="true" outlineLevel="0" collapsed="false">
      <c r="A11" s="57" t="s">
        <v>11</v>
      </c>
      <c r="B11" s="58" t="s">
        <v>27</v>
      </c>
      <c r="C11" s="59">
        <v>13</v>
      </c>
      <c r="D11" s="59">
        <v>3.4</v>
      </c>
      <c r="E11" s="57" t="s">
        <v>186</v>
      </c>
      <c r="F11" s="58" t="s">
        <v>187</v>
      </c>
      <c r="G11" s="58" t="s">
        <v>188</v>
      </c>
      <c r="H11" s="60"/>
      <c r="I11" s="60"/>
      <c r="J11" s="60"/>
      <c r="K11" s="60"/>
      <c r="L11" s="60"/>
    </row>
    <row r="12" customFormat="false" ht="15.75" hidden="true" customHeight="true" outlineLevel="0" collapsed="false">
      <c r="A12" s="57" t="s">
        <v>11</v>
      </c>
      <c r="B12" s="58" t="s">
        <v>27</v>
      </c>
      <c r="C12" s="59">
        <v>13</v>
      </c>
      <c r="D12" s="59">
        <v>3.4</v>
      </c>
      <c r="E12" s="57" t="s">
        <v>192</v>
      </c>
      <c r="F12" s="58" t="s">
        <v>193</v>
      </c>
      <c r="G12" s="58" t="s">
        <v>194</v>
      </c>
      <c r="H12" s="60"/>
      <c r="I12" s="60"/>
      <c r="J12" s="60"/>
      <c r="K12" s="60"/>
      <c r="L12" s="60"/>
    </row>
    <row r="13" customFormat="false" ht="15.75" hidden="true" customHeight="true" outlineLevel="0" collapsed="false">
      <c r="A13" s="57" t="s">
        <v>11</v>
      </c>
      <c r="B13" s="58" t="s">
        <v>27</v>
      </c>
      <c r="C13" s="59">
        <v>13</v>
      </c>
      <c r="D13" s="59">
        <v>3.4</v>
      </c>
      <c r="E13" s="57" t="s">
        <v>195</v>
      </c>
      <c r="F13" s="58" t="s">
        <v>196</v>
      </c>
      <c r="G13" s="58" t="s">
        <v>197</v>
      </c>
      <c r="H13" s="60"/>
      <c r="I13" s="60"/>
      <c r="J13" s="60"/>
      <c r="K13" s="60"/>
      <c r="L13" s="60"/>
    </row>
    <row r="14" customFormat="false" ht="15.75" hidden="true" customHeight="true" outlineLevel="0" collapsed="false">
      <c r="A14" s="57" t="s">
        <v>11</v>
      </c>
      <c r="B14" s="58" t="s">
        <v>27</v>
      </c>
      <c r="C14" s="59">
        <v>13</v>
      </c>
      <c r="D14" s="59">
        <v>3.4</v>
      </c>
      <c r="E14" s="57" t="s">
        <v>198</v>
      </c>
      <c r="F14" s="58" t="s">
        <v>199</v>
      </c>
      <c r="G14" s="58" t="s">
        <v>200</v>
      </c>
      <c r="H14" s="60"/>
      <c r="I14" s="60"/>
      <c r="J14" s="60"/>
      <c r="K14" s="60"/>
      <c r="L14" s="60"/>
    </row>
    <row r="15" customFormat="false" ht="15.75" hidden="true" customHeight="true" outlineLevel="0" collapsed="false">
      <c r="A15" s="57" t="s">
        <v>11</v>
      </c>
      <c r="B15" s="58" t="s">
        <v>27</v>
      </c>
      <c r="C15" s="59">
        <v>13</v>
      </c>
      <c r="D15" s="59">
        <v>3.4</v>
      </c>
      <c r="E15" s="57" t="s">
        <v>215</v>
      </c>
      <c r="F15" s="58" t="s">
        <v>216</v>
      </c>
      <c r="G15" s="58" t="s">
        <v>217</v>
      </c>
      <c r="H15" s="60"/>
      <c r="I15" s="60"/>
      <c r="J15" s="60"/>
      <c r="K15" s="60"/>
      <c r="L15" s="60"/>
    </row>
    <row r="16" customFormat="false" ht="15.75" hidden="true" customHeight="true" outlineLevel="0" collapsed="false">
      <c r="A16" s="57" t="s">
        <v>11</v>
      </c>
      <c r="B16" s="58" t="s">
        <v>27</v>
      </c>
      <c r="C16" s="59">
        <v>13</v>
      </c>
      <c r="D16" s="59">
        <v>3.4</v>
      </c>
      <c r="E16" s="57" t="s">
        <v>222</v>
      </c>
      <c r="F16" s="58" t="s">
        <v>223</v>
      </c>
      <c r="G16" s="58" t="s">
        <v>224</v>
      </c>
      <c r="H16" s="60"/>
      <c r="I16" s="60"/>
      <c r="J16" s="60"/>
      <c r="K16" s="60"/>
      <c r="L16" s="60"/>
    </row>
    <row r="17" customFormat="false" ht="15.75" hidden="true" customHeight="true" outlineLevel="0" collapsed="false">
      <c r="A17" s="57" t="s">
        <v>11</v>
      </c>
      <c r="B17" s="58" t="s">
        <v>27</v>
      </c>
      <c r="C17" s="59">
        <v>13</v>
      </c>
      <c r="D17" s="59">
        <v>3.4</v>
      </c>
      <c r="E17" s="57" t="s">
        <v>233</v>
      </c>
      <c r="F17" s="58" t="s">
        <v>234</v>
      </c>
      <c r="G17" s="58" t="s">
        <v>235</v>
      </c>
      <c r="H17" s="60"/>
      <c r="I17" s="60"/>
      <c r="J17" s="60"/>
      <c r="K17" s="60"/>
      <c r="L17" s="60"/>
    </row>
    <row r="18" customFormat="false" ht="15.75" hidden="true" customHeight="true" outlineLevel="0" collapsed="false">
      <c r="A18" s="57" t="s">
        <v>50</v>
      </c>
      <c r="B18" s="58" t="s">
        <v>50</v>
      </c>
      <c r="C18" s="59">
        <v>13</v>
      </c>
      <c r="D18" s="59">
        <v>3.4</v>
      </c>
      <c r="E18" s="57" t="s">
        <v>347</v>
      </c>
      <c r="F18" s="58" t="s">
        <v>348</v>
      </c>
      <c r="G18" s="58" t="s">
        <v>70</v>
      </c>
      <c r="H18" s="61" t="s">
        <v>349</v>
      </c>
      <c r="I18" s="61"/>
      <c r="J18" s="61"/>
      <c r="K18" s="62"/>
      <c r="L18" s="61"/>
    </row>
    <row r="19" customFormat="false" ht="15.75" hidden="true" customHeight="true" outlineLevel="0" collapsed="false">
      <c r="A19" s="57" t="s">
        <v>50</v>
      </c>
      <c r="B19" s="58" t="s">
        <v>50</v>
      </c>
      <c r="C19" s="59">
        <v>13</v>
      </c>
      <c r="D19" s="59">
        <v>3.4</v>
      </c>
      <c r="E19" s="57" t="s">
        <v>350</v>
      </c>
      <c r="F19" s="58" t="s">
        <v>351</v>
      </c>
      <c r="G19" s="58" t="s">
        <v>70</v>
      </c>
      <c r="H19" s="61" t="s">
        <v>352</v>
      </c>
      <c r="I19" s="61"/>
      <c r="J19" s="61"/>
      <c r="K19" s="61"/>
      <c r="L19" s="61"/>
    </row>
    <row r="20" customFormat="false" ht="15.75" hidden="true" customHeight="true" outlineLevel="0" collapsed="false">
      <c r="A20" s="57" t="s">
        <v>50</v>
      </c>
      <c r="B20" s="58" t="s">
        <v>50</v>
      </c>
      <c r="C20" s="59">
        <v>13</v>
      </c>
      <c r="D20" s="59">
        <v>3.4</v>
      </c>
      <c r="E20" s="57" t="s">
        <v>353</v>
      </c>
      <c r="F20" s="58" t="s">
        <v>354</v>
      </c>
      <c r="G20" s="58" t="s">
        <v>355</v>
      </c>
      <c r="H20" s="61"/>
      <c r="I20" s="61"/>
      <c r="J20" s="61"/>
      <c r="K20" s="61"/>
      <c r="L20" s="61"/>
    </row>
    <row r="21" customFormat="false" ht="15.75" hidden="true" customHeight="true" outlineLevel="0" collapsed="false">
      <c r="A21" s="57" t="s">
        <v>50</v>
      </c>
      <c r="B21" s="58" t="s">
        <v>50</v>
      </c>
      <c r="C21" s="59">
        <v>13</v>
      </c>
      <c r="D21" s="59">
        <v>3.4</v>
      </c>
      <c r="E21" s="57" t="s">
        <v>356</v>
      </c>
      <c r="F21" s="58" t="s">
        <v>357</v>
      </c>
      <c r="G21" s="58" t="s">
        <v>70</v>
      </c>
      <c r="H21" s="61"/>
      <c r="I21" s="61"/>
      <c r="J21" s="61"/>
      <c r="K21" s="61"/>
      <c r="L21" s="61"/>
    </row>
    <row r="22" customFormat="false" ht="15.75" hidden="true" customHeight="true" outlineLevel="0" collapsed="false">
      <c r="A22" s="57" t="s">
        <v>50</v>
      </c>
      <c r="B22" s="58" t="s">
        <v>50</v>
      </c>
      <c r="C22" s="59">
        <v>13</v>
      </c>
      <c r="D22" s="59">
        <v>3.4</v>
      </c>
      <c r="E22" s="57" t="s">
        <v>358</v>
      </c>
      <c r="F22" s="58" t="s">
        <v>359</v>
      </c>
      <c r="G22" s="58" t="s">
        <v>70</v>
      </c>
      <c r="H22" s="61"/>
      <c r="I22" s="61"/>
      <c r="J22" s="61"/>
      <c r="K22" s="61"/>
      <c r="L22" s="61"/>
    </row>
    <row r="23" customFormat="false" ht="15.75" hidden="true" customHeight="true" outlineLevel="0" collapsed="false">
      <c r="A23" s="57" t="s">
        <v>50</v>
      </c>
      <c r="B23" s="58" t="s">
        <v>50</v>
      </c>
      <c r="C23" s="59">
        <v>13</v>
      </c>
      <c r="D23" s="59">
        <v>3.4</v>
      </c>
      <c r="E23" s="57" t="s">
        <v>360</v>
      </c>
      <c r="F23" s="58" t="s">
        <v>361</v>
      </c>
      <c r="G23" s="58" t="s">
        <v>70</v>
      </c>
      <c r="H23" s="61"/>
      <c r="I23" s="61"/>
      <c r="J23" s="61"/>
      <c r="K23" s="61"/>
      <c r="L23" s="61"/>
    </row>
    <row r="24" customFormat="false" ht="15.75" hidden="true" customHeight="true" outlineLevel="0" collapsed="false">
      <c r="A24" s="57" t="s">
        <v>50</v>
      </c>
      <c r="B24" s="58" t="s">
        <v>50</v>
      </c>
      <c r="C24" s="59">
        <v>13</v>
      </c>
      <c r="D24" s="59">
        <v>3.4</v>
      </c>
      <c r="E24" s="57" t="s">
        <v>98</v>
      </c>
      <c r="F24" s="58" t="s">
        <v>99</v>
      </c>
      <c r="G24" s="58" t="s">
        <v>70</v>
      </c>
      <c r="H24" s="60" t="s">
        <v>362</v>
      </c>
      <c r="I24" s="60"/>
      <c r="J24" s="60"/>
      <c r="K24" s="60"/>
      <c r="L24" s="60"/>
    </row>
    <row r="25" customFormat="false" ht="15.75" hidden="true" customHeight="true" outlineLevel="0" collapsed="false">
      <c r="A25" s="57" t="s">
        <v>50</v>
      </c>
      <c r="B25" s="58" t="s">
        <v>50</v>
      </c>
      <c r="C25" s="59">
        <v>13</v>
      </c>
      <c r="D25" s="59">
        <v>3.4</v>
      </c>
      <c r="E25" s="57" t="s">
        <v>363</v>
      </c>
      <c r="F25" s="58" t="s">
        <v>364</v>
      </c>
      <c r="G25" s="58" t="s">
        <v>101</v>
      </c>
      <c r="H25" s="61"/>
      <c r="I25" s="61"/>
      <c r="J25" s="61"/>
      <c r="K25" s="61"/>
      <c r="L25" s="61"/>
    </row>
    <row r="26" customFormat="false" ht="15.75" hidden="true" customHeight="true" outlineLevel="0" collapsed="false">
      <c r="A26" s="57" t="s">
        <v>50</v>
      </c>
      <c r="B26" s="58" t="s">
        <v>50</v>
      </c>
      <c r="C26" s="59">
        <v>13</v>
      </c>
      <c r="D26" s="59">
        <v>3.4</v>
      </c>
      <c r="E26" s="57" t="s">
        <v>365</v>
      </c>
      <c r="F26" s="58" t="s">
        <v>214</v>
      </c>
      <c r="G26" s="58" t="s">
        <v>366</v>
      </c>
      <c r="H26" s="61"/>
      <c r="I26" s="61"/>
      <c r="J26" s="61"/>
      <c r="K26" s="61"/>
      <c r="L26" s="61"/>
    </row>
    <row r="27" customFormat="false" ht="15.75" hidden="true" customHeight="true" outlineLevel="0" collapsed="false">
      <c r="A27" s="57" t="s">
        <v>50</v>
      </c>
      <c r="B27" s="58" t="s">
        <v>50</v>
      </c>
      <c r="C27" s="59">
        <v>13</v>
      </c>
      <c r="D27" s="59">
        <v>3.4</v>
      </c>
      <c r="E27" s="57" t="s">
        <v>367</v>
      </c>
      <c r="F27" s="58" t="s">
        <v>243</v>
      </c>
      <c r="G27" s="58" t="s">
        <v>70</v>
      </c>
      <c r="H27" s="61"/>
      <c r="I27" s="61"/>
      <c r="J27" s="61"/>
      <c r="K27" s="61"/>
      <c r="L27" s="61"/>
    </row>
    <row r="28" customFormat="false" ht="15.75" hidden="true" customHeight="true" outlineLevel="0" collapsed="false">
      <c r="A28" s="57" t="s">
        <v>50</v>
      </c>
      <c r="B28" s="58" t="s">
        <v>50</v>
      </c>
      <c r="C28" s="59">
        <v>13</v>
      </c>
      <c r="D28" s="59">
        <v>3.4</v>
      </c>
      <c r="E28" s="57" t="s">
        <v>368</v>
      </c>
      <c r="F28" s="58" t="s">
        <v>219</v>
      </c>
      <c r="G28" s="58" t="s">
        <v>70</v>
      </c>
      <c r="H28" s="63"/>
      <c r="I28" s="61"/>
      <c r="J28" s="61"/>
      <c r="K28" s="61"/>
      <c r="L28" s="61"/>
    </row>
    <row r="29" customFormat="false" ht="15.75" hidden="true" customHeight="true" outlineLevel="0" collapsed="false">
      <c r="A29" s="57" t="s">
        <v>50</v>
      </c>
      <c r="B29" s="58" t="s">
        <v>50</v>
      </c>
      <c r="C29" s="59">
        <v>13</v>
      </c>
      <c r="D29" s="59">
        <v>3.4</v>
      </c>
      <c r="E29" s="57" t="s">
        <v>369</v>
      </c>
      <c r="F29" s="58" t="s">
        <v>112</v>
      </c>
      <c r="G29" s="58" t="s">
        <v>70</v>
      </c>
      <c r="H29" s="61"/>
      <c r="I29" s="61"/>
      <c r="J29" s="61"/>
      <c r="K29" s="61"/>
      <c r="L29" s="61"/>
    </row>
    <row r="30" customFormat="false" ht="15.75" hidden="true" customHeight="true" outlineLevel="0" collapsed="false">
      <c r="A30" s="57" t="s">
        <v>50</v>
      </c>
      <c r="B30" s="58" t="s">
        <v>50</v>
      </c>
      <c r="C30" s="59">
        <v>13</v>
      </c>
      <c r="D30" s="59">
        <v>3.4</v>
      </c>
      <c r="E30" s="57" t="s">
        <v>370</v>
      </c>
      <c r="F30" s="58" t="s">
        <v>157</v>
      </c>
      <c r="G30" s="58" t="s">
        <v>371</v>
      </c>
      <c r="H30" s="61"/>
      <c r="I30" s="61"/>
      <c r="J30" s="61"/>
      <c r="K30" s="61"/>
      <c r="L30" s="61"/>
    </row>
    <row r="31" customFormat="false" ht="15.75" hidden="true" customHeight="true" outlineLevel="0" collapsed="false">
      <c r="A31" s="57" t="s">
        <v>50</v>
      </c>
      <c r="B31" s="58" t="s">
        <v>50</v>
      </c>
      <c r="C31" s="59">
        <v>13</v>
      </c>
      <c r="D31" s="59">
        <v>3.4</v>
      </c>
      <c r="E31" s="57" t="s">
        <v>372</v>
      </c>
      <c r="F31" s="58" t="s">
        <v>167</v>
      </c>
      <c r="G31" s="58" t="s">
        <v>155</v>
      </c>
      <c r="H31" s="61"/>
      <c r="I31" s="61"/>
      <c r="J31" s="61"/>
      <c r="K31" s="61"/>
      <c r="L31" s="61"/>
    </row>
    <row r="32" customFormat="false" ht="15.75" hidden="true" customHeight="true" outlineLevel="0" collapsed="false">
      <c r="A32" s="57" t="s">
        <v>50</v>
      </c>
      <c r="B32" s="58" t="s">
        <v>55</v>
      </c>
      <c r="C32" s="59">
        <v>13</v>
      </c>
      <c r="D32" s="59">
        <v>3.4</v>
      </c>
      <c r="E32" s="57" t="s">
        <v>56</v>
      </c>
      <c r="F32" s="58" t="s">
        <v>57</v>
      </c>
      <c r="G32" s="58" t="s">
        <v>58</v>
      </c>
      <c r="H32" s="60" t="s">
        <v>373</v>
      </c>
      <c r="I32" s="60"/>
      <c r="J32" s="60" t="s">
        <v>374</v>
      </c>
      <c r="K32" s="60"/>
      <c r="L32" s="60"/>
    </row>
    <row r="33" customFormat="false" ht="15.75" hidden="true" customHeight="true" outlineLevel="0" collapsed="false">
      <c r="A33" s="57" t="s">
        <v>50</v>
      </c>
      <c r="B33" s="58" t="s">
        <v>55</v>
      </c>
      <c r="C33" s="59">
        <v>13</v>
      </c>
      <c r="D33" s="59">
        <v>3.4</v>
      </c>
      <c r="E33" s="57" t="s">
        <v>100</v>
      </c>
      <c r="F33" s="58" t="s">
        <v>37</v>
      </c>
      <c r="G33" s="58" t="s">
        <v>101</v>
      </c>
      <c r="H33" s="60" t="s">
        <v>346</v>
      </c>
      <c r="I33" s="60"/>
      <c r="J33" s="60"/>
      <c r="K33" s="60"/>
      <c r="L33" s="60"/>
    </row>
    <row r="34" customFormat="false" ht="15.75" hidden="true" customHeight="true" outlineLevel="0" collapsed="false">
      <c r="A34" s="57" t="s">
        <v>50</v>
      </c>
      <c r="B34" s="58" t="s">
        <v>55</v>
      </c>
      <c r="C34" s="59">
        <v>13</v>
      </c>
      <c r="D34" s="59">
        <v>3.4</v>
      </c>
      <c r="E34" s="57" t="s">
        <v>154</v>
      </c>
      <c r="F34" s="58" t="s">
        <v>128</v>
      </c>
      <c r="G34" s="58" t="s">
        <v>155</v>
      </c>
      <c r="H34" s="60"/>
      <c r="I34" s="60"/>
      <c r="J34" s="60"/>
      <c r="K34" s="60"/>
      <c r="L34" s="60"/>
    </row>
    <row r="35" customFormat="false" ht="15.75" hidden="true" customHeight="true" outlineLevel="0" collapsed="false">
      <c r="A35" s="57" t="s">
        <v>50</v>
      </c>
      <c r="B35" s="58" t="s">
        <v>55</v>
      </c>
      <c r="C35" s="59">
        <v>13</v>
      </c>
      <c r="D35" s="59">
        <v>3.4</v>
      </c>
      <c r="E35" s="57" t="s">
        <v>163</v>
      </c>
      <c r="F35" s="58" t="s">
        <v>164</v>
      </c>
      <c r="G35" s="58" t="s">
        <v>70</v>
      </c>
      <c r="H35" s="60"/>
      <c r="I35" s="60"/>
      <c r="J35" s="60"/>
      <c r="K35" s="60"/>
      <c r="L35" s="60"/>
    </row>
    <row r="36" customFormat="false" ht="15.75" hidden="true" customHeight="true" outlineLevel="0" collapsed="false">
      <c r="A36" s="57" t="s">
        <v>50</v>
      </c>
      <c r="B36" s="58" t="s">
        <v>55</v>
      </c>
      <c r="C36" s="59">
        <v>13</v>
      </c>
      <c r="D36" s="59">
        <v>3.4</v>
      </c>
      <c r="E36" s="57" t="s">
        <v>218</v>
      </c>
      <c r="F36" s="58" t="s">
        <v>219</v>
      </c>
      <c r="G36" s="58" t="s">
        <v>70</v>
      </c>
      <c r="H36" s="60"/>
      <c r="I36" s="60"/>
      <c r="J36" s="60"/>
      <c r="K36" s="60"/>
      <c r="L36" s="60"/>
    </row>
    <row r="37" customFormat="false" ht="15.75" hidden="true" customHeight="true" outlineLevel="0" collapsed="false">
      <c r="A37" s="57" t="s">
        <v>375</v>
      </c>
      <c r="B37" s="58" t="s">
        <v>376</v>
      </c>
      <c r="C37" s="59">
        <v>13</v>
      </c>
      <c r="D37" s="59">
        <v>3.4</v>
      </c>
      <c r="E37" s="57" t="s">
        <v>377</v>
      </c>
      <c r="F37" s="58" t="s">
        <v>34</v>
      </c>
      <c r="G37" s="58" t="s">
        <v>378</v>
      </c>
      <c r="H37" s="61" t="s">
        <v>379</v>
      </c>
      <c r="I37" s="61"/>
      <c r="J37" s="61"/>
      <c r="K37" s="61"/>
      <c r="L37" s="61"/>
    </row>
    <row r="38" customFormat="false" ht="15.75" hidden="true" customHeight="true" outlineLevel="0" collapsed="false">
      <c r="A38" s="57" t="s">
        <v>375</v>
      </c>
      <c r="B38" s="58" t="s">
        <v>376</v>
      </c>
      <c r="C38" s="59">
        <v>13</v>
      </c>
      <c r="D38" s="59">
        <v>3.4</v>
      </c>
      <c r="E38" s="57" t="s">
        <v>380</v>
      </c>
      <c r="F38" s="58" t="s">
        <v>381</v>
      </c>
      <c r="G38" s="58" t="s">
        <v>382</v>
      </c>
      <c r="H38" s="61" t="s">
        <v>352</v>
      </c>
      <c r="I38" s="61"/>
      <c r="J38" s="61"/>
      <c r="K38" s="61"/>
      <c r="L38" s="61"/>
    </row>
    <row r="39" customFormat="false" ht="15.75" hidden="true" customHeight="true" outlineLevel="0" collapsed="false">
      <c r="A39" s="57" t="s">
        <v>375</v>
      </c>
      <c r="B39" s="58" t="s">
        <v>376</v>
      </c>
      <c r="C39" s="59">
        <v>13</v>
      </c>
      <c r="D39" s="59">
        <v>3.4</v>
      </c>
      <c r="E39" s="57" t="s">
        <v>383</v>
      </c>
      <c r="F39" s="58" t="s">
        <v>146</v>
      </c>
      <c r="G39" s="58" t="s">
        <v>384</v>
      </c>
      <c r="H39" s="61"/>
      <c r="I39" s="61"/>
      <c r="J39" s="61"/>
      <c r="K39" s="61"/>
      <c r="L39" s="61"/>
    </row>
    <row r="40" customFormat="false" ht="15.75" hidden="true" customHeight="true" outlineLevel="0" collapsed="false">
      <c r="A40" s="57" t="s">
        <v>375</v>
      </c>
      <c r="B40" s="58" t="s">
        <v>376</v>
      </c>
      <c r="C40" s="59">
        <v>13</v>
      </c>
      <c r="D40" s="59">
        <v>3.4</v>
      </c>
      <c r="E40" s="57" t="s">
        <v>385</v>
      </c>
      <c r="F40" s="58" t="s">
        <v>386</v>
      </c>
      <c r="G40" s="58" t="s">
        <v>387</v>
      </c>
      <c r="H40" s="61"/>
      <c r="I40" s="61"/>
      <c r="J40" s="61"/>
      <c r="K40" s="61"/>
      <c r="L40" s="61"/>
    </row>
    <row r="41" customFormat="false" ht="15.75" hidden="true" customHeight="true" outlineLevel="0" collapsed="false">
      <c r="A41" s="57" t="s">
        <v>388</v>
      </c>
      <c r="B41" s="58" t="s">
        <v>389</v>
      </c>
      <c r="C41" s="59">
        <v>13</v>
      </c>
      <c r="D41" s="59">
        <v>3.4</v>
      </c>
      <c r="E41" s="57" t="s">
        <v>390</v>
      </c>
      <c r="F41" s="58" t="s">
        <v>37</v>
      </c>
      <c r="G41" s="58" t="s">
        <v>391</v>
      </c>
      <c r="H41" s="61"/>
      <c r="I41" s="61"/>
      <c r="J41" s="61"/>
      <c r="K41" s="61"/>
      <c r="L41" s="61"/>
    </row>
    <row r="42" customFormat="false" ht="15.75" hidden="true" customHeight="true" outlineLevel="0" collapsed="false">
      <c r="A42" s="57" t="s">
        <v>388</v>
      </c>
      <c r="B42" s="58" t="s">
        <v>389</v>
      </c>
      <c r="C42" s="59">
        <v>13</v>
      </c>
      <c r="D42" s="59">
        <v>3.4</v>
      </c>
      <c r="E42" s="57" t="s">
        <v>392</v>
      </c>
      <c r="F42" s="58" t="s">
        <v>393</v>
      </c>
      <c r="G42" s="58" t="s">
        <v>394</v>
      </c>
      <c r="H42" s="61"/>
      <c r="I42" s="61"/>
      <c r="J42" s="61"/>
      <c r="K42" s="61"/>
      <c r="L42" s="61"/>
    </row>
    <row r="43" customFormat="false" ht="15.75" hidden="true" customHeight="true" outlineLevel="0" collapsed="false">
      <c r="A43" s="57" t="s">
        <v>388</v>
      </c>
      <c r="B43" s="58" t="s">
        <v>389</v>
      </c>
      <c r="C43" s="59">
        <v>13</v>
      </c>
      <c r="D43" s="59">
        <v>3.4</v>
      </c>
      <c r="E43" s="57" t="s">
        <v>395</v>
      </c>
      <c r="F43" s="58" t="s">
        <v>396</v>
      </c>
      <c r="G43" s="58" t="s">
        <v>397</v>
      </c>
      <c r="H43" s="61"/>
      <c r="I43" s="61"/>
      <c r="J43" s="61"/>
      <c r="K43" s="61"/>
      <c r="L43" s="61"/>
    </row>
    <row r="44" customFormat="false" ht="15.75" hidden="true" customHeight="true" outlineLevel="0" collapsed="false">
      <c r="A44" s="57" t="s">
        <v>388</v>
      </c>
      <c r="B44" s="58" t="s">
        <v>389</v>
      </c>
      <c r="C44" s="59">
        <v>13</v>
      </c>
      <c r="D44" s="59">
        <v>3.4</v>
      </c>
      <c r="E44" s="57" t="s">
        <v>398</v>
      </c>
      <c r="F44" s="58" t="s">
        <v>399</v>
      </c>
      <c r="G44" s="58" t="s">
        <v>400</v>
      </c>
      <c r="H44" s="61"/>
      <c r="I44" s="61"/>
      <c r="J44" s="61"/>
      <c r="K44" s="61"/>
      <c r="L44" s="61"/>
    </row>
    <row r="45" customFormat="false" ht="15.75" hidden="true" customHeight="true" outlineLevel="0" collapsed="false">
      <c r="A45" s="57" t="s">
        <v>388</v>
      </c>
      <c r="B45" s="58" t="s">
        <v>389</v>
      </c>
      <c r="C45" s="59">
        <v>13</v>
      </c>
      <c r="D45" s="59">
        <v>3.4</v>
      </c>
      <c r="E45" s="57" t="s">
        <v>401</v>
      </c>
      <c r="F45" s="58" t="s">
        <v>216</v>
      </c>
      <c r="G45" s="58" t="s">
        <v>402</v>
      </c>
      <c r="H45" s="61"/>
      <c r="I45" s="61"/>
      <c r="J45" s="61"/>
      <c r="K45" s="61"/>
      <c r="L45" s="61"/>
    </row>
    <row r="46" customFormat="false" ht="15.75" hidden="true" customHeight="true" outlineLevel="0" collapsed="false">
      <c r="A46" s="57" t="s">
        <v>388</v>
      </c>
      <c r="B46" s="58" t="s">
        <v>389</v>
      </c>
      <c r="C46" s="59">
        <v>13</v>
      </c>
      <c r="D46" s="59">
        <v>3.4</v>
      </c>
      <c r="E46" s="57" t="s">
        <v>403</v>
      </c>
      <c r="F46" s="58" t="s">
        <v>404</v>
      </c>
      <c r="G46" s="58" t="s">
        <v>405</v>
      </c>
      <c r="H46" s="61"/>
      <c r="I46" s="61"/>
      <c r="J46" s="61"/>
      <c r="K46" s="61"/>
      <c r="L46" s="61"/>
    </row>
    <row r="47" customFormat="false" ht="15.75" hidden="true" customHeight="true" outlineLevel="0" collapsed="false">
      <c r="A47" s="57" t="s">
        <v>388</v>
      </c>
      <c r="B47" s="58" t="s">
        <v>389</v>
      </c>
      <c r="C47" s="59">
        <v>13</v>
      </c>
      <c r="D47" s="59">
        <v>3.4</v>
      </c>
      <c r="E47" s="57" t="s">
        <v>406</v>
      </c>
      <c r="F47" s="58" t="s">
        <v>193</v>
      </c>
      <c r="G47" s="58" t="s">
        <v>407</v>
      </c>
      <c r="H47" s="61"/>
      <c r="I47" s="61"/>
      <c r="J47" s="61"/>
      <c r="K47" s="61"/>
      <c r="L47" s="61"/>
    </row>
    <row r="48" customFormat="false" ht="15.75" hidden="true" customHeight="true" outlineLevel="0" collapsed="false">
      <c r="A48" s="57" t="s">
        <v>388</v>
      </c>
      <c r="B48" s="58" t="s">
        <v>389</v>
      </c>
      <c r="C48" s="59">
        <v>13</v>
      </c>
      <c r="D48" s="59">
        <v>3.4</v>
      </c>
      <c r="E48" s="57" t="s">
        <v>408</v>
      </c>
      <c r="F48" s="58" t="s">
        <v>409</v>
      </c>
      <c r="G48" s="58" t="s">
        <v>410</v>
      </c>
      <c r="H48" s="61"/>
      <c r="I48" s="61"/>
      <c r="J48" s="61"/>
      <c r="K48" s="61"/>
      <c r="L48" s="61"/>
    </row>
    <row r="49" customFormat="false" ht="15.75" hidden="true" customHeight="true" outlineLevel="0" collapsed="false">
      <c r="A49" s="57" t="s">
        <v>388</v>
      </c>
      <c r="B49" s="58" t="s">
        <v>389</v>
      </c>
      <c r="C49" s="59">
        <v>13</v>
      </c>
      <c r="D49" s="59">
        <v>3.4</v>
      </c>
      <c r="E49" s="57" t="s">
        <v>411</v>
      </c>
      <c r="F49" s="58" t="s">
        <v>412</v>
      </c>
      <c r="G49" s="58" t="s">
        <v>413</v>
      </c>
      <c r="H49" s="61"/>
      <c r="I49" s="61"/>
      <c r="J49" s="61"/>
      <c r="K49" s="61"/>
      <c r="L49" s="61"/>
    </row>
    <row r="50" customFormat="false" ht="15.75" hidden="true" customHeight="true" outlineLevel="0" collapsed="false">
      <c r="A50" s="57" t="s">
        <v>388</v>
      </c>
      <c r="B50" s="58" t="s">
        <v>389</v>
      </c>
      <c r="C50" s="59">
        <v>13</v>
      </c>
      <c r="D50" s="59">
        <v>3.4</v>
      </c>
      <c r="E50" s="57" t="s">
        <v>414</v>
      </c>
      <c r="F50" s="58" t="s">
        <v>162</v>
      </c>
      <c r="G50" s="58" t="s">
        <v>415</v>
      </c>
      <c r="H50" s="61"/>
      <c r="I50" s="61"/>
      <c r="J50" s="61"/>
      <c r="K50" s="61"/>
      <c r="L50" s="61"/>
    </row>
    <row r="51" customFormat="false" ht="15.75" hidden="true" customHeight="true" outlineLevel="0" collapsed="false">
      <c r="A51" s="57" t="s">
        <v>388</v>
      </c>
      <c r="B51" s="58" t="s">
        <v>389</v>
      </c>
      <c r="C51" s="59">
        <v>13</v>
      </c>
      <c r="D51" s="59">
        <v>3.4</v>
      </c>
      <c r="E51" s="57" t="s">
        <v>416</v>
      </c>
      <c r="F51" s="58" t="s">
        <v>417</v>
      </c>
      <c r="G51" s="58" t="s">
        <v>418</v>
      </c>
      <c r="H51" s="61"/>
      <c r="I51" s="61"/>
      <c r="J51" s="61"/>
      <c r="K51" s="61"/>
      <c r="L51" s="61"/>
    </row>
    <row r="52" customFormat="false" ht="15.75" hidden="true" customHeight="true" outlineLevel="0" collapsed="false">
      <c r="A52" s="57" t="s">
        <v>388</v>
      </c>
      <c r="B52" s="58" t="s">
        <v>389</v>
      </c>
      <c r="C52" s="59">
        <v>13</v>
      </c>
      <c r="D52" s="59">
        <v>3.4</v>
      </c>
      <c r="E52" s="57" t="s">
        <v>419</v>
      </c>
      <c r="F52" s="58" t="s">
        <v>417</v>
      </c>
      <c r="G52" s="58" t="s">
        <v>420</v>
      </c>
      <c r="H52" s="61"/>
      <c r="I52" s="61"/>
      <c r="J52" s="61"/>
      <c r="K52" s="61"/>
      <c r="L52" s="61"/>
    </row>
    <row r="53" customFormat="false" ht="15.75" hidden="true" customHeight="true" outlineLevel="0" collapsed="false">
      <c r="A53" s="57" t="s">
        <v>388</v>
      </c>
      <c r="B53" s="58" t="s">
        <v>389</v>
      </c>
      <c r="C53" s="59">
        <v>13</v>
      </c>
      <c r="D53" s="59">
        <v>3.4</v>
      </c>
      <c r="E53" s="57" t="s">
        <v>421</v>
      </c>
      <c r="F53" s="58" t="s">
        <v>422</v>
      </c>
      <c r="G53" s="58" t="s">
        <v>423</v>
      </c>
      <c r="H53" s="61"/>
      <c r="I53" s="61"/>
      <c r="J53" s="61"/>
      <c r="K53" s="61"/>
      <c r="L53" s="61"/>
    </row>
    <row r="54" customFormat="false" ht="15.75" hidden="true" customHeight="true" outlineLevel="0" collapsed="false">
      <c r="A54" s="57" t="s">
        <v>388</v>
      </c>
      <c r="B54" s="58" t="s">
        <v>389</v>
      </c>
      <c r="C54" s="59">
        <v>13</v>
      </c>
      <c r="D54" s="59">
        <v>3.4</v>
      </c>
      <c r="E54" s="57" t="s">
        <v>424</v>
      </c>
      <c r="F54" s="58" t="s">
        <v>425</v>
      </c>
      <c r="G54" s="58" t="s">
        <v>426</v>
      </c>
      <c r="H54" s="61"/>
      <c r="I54" s="61"/>
      <c r="J54" s="61"/>
      <c r="K54" s="61"/>
      <c r="L54" s="61"/>
    </row>
    <row r="55" customFormat="false" ht="15.75" hidden="true" customHeight="true" outlineLevel="0" collapsed="false">
      <c r="A55" s="57" t="s">
        <v>22</v>
      </c>
      <c r="B55" s="58" t="s">
        <v>427</v>
      </c>
      <c r="C55" s="59">
        <v>13</v>
      </c>
      <c r="D55" s="59">
        <v>3.4</v>
      </c>
      <c r="E55" s="57" t="s">
        <v>428</v>
      </c>
      <c r="F55" s="58" t="s">
        <v>167</v>
      </c>
      <c r="G55" s="58" t="s">
        <v>26</v>
      </c>
      <c r="H55" s="61"/>
      <c r="I55" s="61"/>
      <c r="J55" s="61"/>
      <c r="K55" s="61"/>
      <c r="L55" s="61"/>
    </row>
    <row r="56" customFormat="false" ht="15.75" hidden="true" customHeight="true" outlineLevel="0" collapsed="false">
      <c r="A56" s="57" t="s">
        <v>22</v>
      </c>
      <c r="B56" s="58" t="s">
        <v>427</v>
      </c>
      <c r="C56" s="59">
        <v>13</v>
      </c>
      <c r="D56" s="59">
        <v>3.4</v>
      </c>
      <c r="E56" s="57" t="s">
        <v>429</v>
      </c>
      <c r="F56" s="58" t="s">
        <v>430</v>
      </c>
      <c r="G56" s="58" t="s">
        <v>77</v>
      </c>
      <c r="H56" s="61"/>
      <c r="I56" s="61"/>
      <c r="J56" s="61"/>
      <c r="K56" s="61"/>
      <c r="L56" s="61"/>
    </row>
    <row r="57" customFormat="false" ht="15.75" hidden="true" customHeight="true" outlineLevel="0" collapsed="false">
      <c r="A57" s="57" t="s">
        <v>22</v>
      </c>
      <c r="B57" s="58" t="s">
        <v>427</v>
      </c>
      <c r="C57" s="59">
        <v>13</v>
      </c>
      <c r="D57" s="59">
        <v>3.4</v>
      </c>
      <c r="E57" s="57" t="s">
        <v>431</v>
      </c>
      <c r="F57" s="58" t="s">
        <v>432</v>
      </c>
      <c r="G57" s="58" t="s">
        <v>26</v>
      </c>
      <c r="H57" s="61"/>
      <c r="I57" s="61"/>
      <c r="J57" s="61"/>
      <c r="K57" s="61"/>
      <c r="L57" s="61"/>
    </row>
    <row r="58" customFormat="false" ht="15.75" hidden="true" customHeight="true" outlineLevel="0" collapsed="false">
      <c r="A58" s="57" t="s">
        <v>433</v>
      </c>
      <c r="B58" s="58" t="s">
        <v>434</v>
      </c>
      <c r="C58" s="59">
        <v>13</v>
      </c>
      <c r="D58" s="59">
        <v>3.4</v>
      </c>
      <c r="E58" s="57" t="s">
        <v>435</v>
      </c>
      <c r="F58" s="58" t="s">
        <v>436</v>
      </c>
      <c r="G58" s="58" t="s">
        <v>437</v>
      </c>
      <c r="H58" s="61"/>
      <c r="I58" s="61"/>
      <c r="J58" s="61"/>
      <c r="K58" s="61"/>
      <c r="L58" s="61"/>
    </row>
    <row r="59" customFormat="false" ht="15.75" hidden="true" customHeight="true" outlineLevel="0" collapsed="false">
      <c r="A59" s="57" t="s">
        <v>433</v>
      </c>
      <c r="B59" s="58" t="s">
        <v>434</v>
      </c>
      <c r="C59" s="59">
        <v>13</v>
      </c>
      <c r="D59" s="59">
        <v>3.4</v>
      </c>
      <c r="E59" s="57" t="s">
        <v>438</v>
      </c>
      <c r="F59" s="58" t="s">
        <v>439</v>
      </c>
      <c r="G59" s="58" t="s">
        <v>440</v>
      </c>
      <c r="H59" s="61"/>
      <c r="I59" s="61"/>
      <c r="J59" s="61"/>
      <c r="K59" s="61"/>
      <c r="L59" s="61"/>
    </row>
    <row r="60" customFormat="false" ht="15.75" hidden="true" customHeight="true" outlineLevel="0" collapsed="false">
      <c r="A60" s="57" t="s">
        <v>433</v>
      </c>
      <c r="B60" s="58" t="s">
        <v>434</v>
      </c>
      <c r="C60" s="59">
        <v>13</v>
      </c>
      <c r="D60" s="59">
        <v>3.4</v>
      </c>
      <c r="E60" s="57" t="s">
        <v>441</v>
      </c>
      <c r="F60" s="58" t="s">
        <v>442</v>
      </c>
      <c r="G60" s="58" t="s">
        <v>443</v>
      </c>
      <c r="H60" s="61"/>
      <c r="I60" s="61"/>
      <c r="J60" s="61"/>
      <c r="K60" s="61"/>
      <c r="L60" s="61"/>
    </row>
    <row r="61" customFormat="false" ht="15.75" hidden="true" customHeight="true" outlineLevel="0" collapsed="false">
      <c r="A61" s="57" t="s">
        <v>433</v>
      </c>
      <c r="B61" s="58" t="s">
        <v>434</v>
      </c>
      <c r="C61" s="59">
        <v>13</v>
      </c>
      <c r="D61" s="59">
        <v>3.4</v>
      </c>
      <c r="E61" s="57" t="s">
        <v>444</v>
      </c>
      <c r="F61" s="58" t="s">
        <v>445</v>
      </c>
      <c r="G61" s="58" t="s">
        <v>446</v>
      </c>
      <c r="H61" s="61"/>
      <c r="I61" s="61"/>
      <c r="J61" s="61"/>
      <c r="K61" s="61"/>
      <c r="L61" s="61"/>
    </row>
    <row r="62" customFormat="false" ht="15.75" hidden="true" customHeight="true" outlineLevel="0" collapsed="false">
      <c r="A62" s="57" t="s">
        <v>433</v>
      </c>
      <c r="B62" s="58" t="s">
        <v>434</v>
      </c>
      <c r="C62" s="59">
        <v>13</v>
      </c>
      <c r="D62" s="59">
        <v>3.4</v>
      </c>
      <c r="E62" s="57" t="s">
        <v>447</v>
      </c>
      <c r="F62" s="58" t="s">
        <v>448</v>
      </c>
      <c r="G62" s="58" t="s">
        <v>449</v>
      </c>
      <c r="H62" s="61"/>
      <c r="I62" s="61"/>
      <c r="J62" s="61"/>
      <c r="K62" s="61"/>
      <c r="L62" s="61"/>
    </row>
    <row r="63" customFormat="false" ht="15.75" hidden="true" customHeight="true" outlineLevel="0" collapsed="false">
      <c r="A63" s="57" t="s">
        <v>433</v>
      </c>
      <c r="B63" s="58" t="s">
        <v>434</v>
      </c>
      <c r="C63" s="59">
        <v>13</v>
      </c>
      <c r="D63" s="59">
        <v>3.4</v>
      </c>
      <c r="E63" s="57" t="s">
        <v>450</v>
      </c>
      <c r="F63" s="58" t="s">
        <v>451</v>
      </c>
      <c r="G63" s="58" t="s">
        <v>452</v>
      </c>
      <c r="H63" s="61"/>
      <c r="I63" s="61"/>
      <c r="J63" s="61"/>
      <c r="K63" s="61"/>
      <c r="L63" s="61"/>
    </row>
    <row r="64" customFormat="false" ht="15.75" hidden="true" customHeight="true" outlineLevel="0" collapsed="false">
      <c r="A64" s="57" t="s">
        <v>11</v>
      </c>
      <c r="B64" s="58" t="s">
        <v>319</v>
      </c>
      <c r="C64" s="59">
        <v>13</v>
      </c>
      <c r="D64" s="59">
        <v>3.4</v>
      </c>
      <c r="E64" s="57" t="s">
        <v>453</v>
      </c>
      <c r="F64" s="58" t="s">
        <v>107</v>
      </c>
      <c r="G64" s="58" t="s">
        <v>454</v>
      </c>
      <c r="H64" s="64" t="s">
        <v>455</v>
      </c>
      <c r="I64" s="64"/>
      <c r="J64" s="64"/>
      <c r="K64" s="64"/>
      <c r="L64" s="64"/>
    </row>
    <row r="65" customFormat="false" ht="15.75" hidden="true" customHeight="true" outlineLevel="0" collapsed="false">
      <c r="A65" s="57" t="s">
        <v>11</v>
      </c>
      <c r="B65" s="58" t="s">
        <v>319</v>
      </c>
      <c r="C65" s="59">
        <v>13</v>
      </c>
      <c r="D65" s="59">
        <v>3.4</v>
      </c>
      <c r="E65" s="57" t="s">
        <v>456</v>
      </c>
      <c r="F65" s="58" t="s">
        <v>457</v>
      </c>
      <c r="G65" s="58" t="s">
        <v>458</v>
      </c>
      <c r="H65" s="64"/>
      <c r="I65" s="64"/>
      <c r="J65" s="64"/>
      <c r="K65" s="64"/>
      <c r="L65" s="64"/>
    </row>
    <row r="66" customFormat="false" ht="15.75" hidden="true" customHeight="true" outlineLevel="0" collapsed="false">
      <c r="A66" s="57" t="s">
        <v>126</v>
      </c>
      <c r="B66" s="58" t="s">
        <v>126</v>
      </c>
      <c r="C66" s="59">
        <v>13</v>
      </c>
      <c r="D66" s="59">
        <v>3.4</v>
      </c>
      <c r="E66" s="57" t="s">
        <v>459</v>
      </c>
      <c r="F66" s="58" t="s">
        <v>460</v>
      </c>
      <c r="G66" s="58" t="s">
        <v>461</v>
      </c>
      <c r="H66" s="61" t="s">
        <v>379</v>
      </c>
      <c r="I66" s="61"/>
      <c r="J66" s="61"/>
      <c r="K66" s="61"/>
      <c r="L66" s="61"/>
    </row>
    <row r="67" customFormat="false" ht="15.75" hidden="true" customHeight="true" outlineLevel="0" collapsed="false">
      <c r="A67" s="57" t="s">
        <v>126</v>
      </c>
      <c r="B67" s="58" t="s">
        <v>126</v>
      </c>
      <c r="C67" s="59">
        <v>13</v>
      </c>
      <c r="D67" s="59">
        <v>3.4</v>
      </c>
      <c r="E67" s="57" t="s">
        <v>462</v>
      </c>
      <c r="F67" s="58" t="s">
        <v>463</v>
      </c>
      <c r="G67" s="58" t="s">
        <v>144</v>
      </c>
      <c r="H67" s="61" t="s">
        <v>352</v>
      </c>
      <c r="I67" s="61"/>
      <c r="J67" s="61"/>
      <c r="K67" s="61"/>
      <c r="L67" s="61"/>
    </row>
    <row r="68" customFormat="false" ht="15.75" hidden="true" customHeight="true" outlineLevel="0" collapsed="false">
      <c r="A68" s="57" t="s">
        <v>126</v>
      </c>
      <c r="B68" s="58" t="s">
        <v>126</v>
      </c>
      <c r="C68" s="59">
        <v>13</v>
      </c>
      <c r="D68" s="59">
        <v>3.4</v>
      </c>
      <c r="E68" s="57" t="s">
        <v>464</v>
      </c>
      <c r="F68" s="58" t="s">
        <v>465</v>
      </c>
      <c r="G68" s="58" t="s">
        <v>466</v>
      </c>
      <c r="H68" s="61"/>
      <c r="I68" s="61"/>
      <c r="J68" s="61"/>
      <c r="K68" s="61"/>
      <c r="L68" s="61"/>
    </row>
    <row r="69" customFormat="false" ht="15.75" hidden="true" customHeight="true" outlineLevel="0" collapsed="false">
      <c r="A69" s="57" t="s">
        <v>126</v>
      </c>
      <c r="B69" s="58" t="s">
        <v>126</v>
      </c>
      <c r="C69" s="59">
        <v>13</v>
      </c>
      <c r="D69" s="59">
        <v>3.4</v>
      </c>
      <c r="E69" s="57" t="s">
        <v>467</v>
      </c>
      <c r="F69" s="58" t="s">
        <v>436</v>
      </c>
      <c r="G69" s="58" t="s">
        <v>144</v>
      </c>
      <c r="H69" s="61"/>
      <c r="I69" s="61"/>
      <c r="J69" s="61"/>
      <c r="K69" s="61"/>
      <c r="L69" s="61"/>
    </row>
    <row r="70" customFormat="false" ht="15.75" hidden="true" customHeight="true" outlineLevel="0" collapsed="false">
      <c r="A70" s="57" t="s">
        <v>126</v>
      </c>
      <c r="B70" s="58" t="s">
        <v>126</v>
      </c>
      <c r="C70" s="59">
        <v>13</v>
      </c>
      <c r="D70" s="59">
        <v>3.4</v>
      </c>
      <c r="E70" s="57" t="s">
        <v>468</v>
      </c>
      <c r="F70" s="58" t="s">
        <v>354</v>
      </c>
      <c r="G70" s="58" t="s">
        <v>144</v>
      </c>
      <c r="H70" s="61"/>
      <c r="I70" s="61"/>
      <c r="J70" s="61"/>
      <c r="K70" s="61"/>
      <c r="L70" s="61"/>
    </row>
    <row r="71" customFormat="false" ht="15.75" hidden="true" customHeight="true" outlineLevel="0" collapsed="false">
      <c r="A71" s="57" t="s">
        <v>126</v>
      </c>
      <c r="B71" s="58" t="s">
        <v>126</v>
      </c>
      <c r="C71" s="59">
        <v>13</v>
      </c>
      <c r="D71" s="59">
        <v>3.4</v>
      </c>
      <c r="E71" s="57" t="s">
        <v>469</v>
      </c>
      <c r="F71" s="58" t="s">
        <v>470</v>
      </c>
      <c r="G71" s="58" t="s">
        <v>144</v>
      </c>
      <c r="H71" s="61"/>
      <c r="I71" s="61"/>
      <c r="J71" s="61"/>
      <c r="K71" s="61"/>
      <c r="L71" s="61"/>
    </row>
    <row r="72" customFormat="false" ht="15.75" hidden="true" customHeight="true" outlineLevel="0" collapsed="false">
      <c r="A72" s="57" t="s">
        <v>11</v>
      </c>
      <c r="B72" s="58" t="s">
        <v>11</v>
      </c>
      <c r="C72" s="59">
        <v>13</v>
      </c>
      <c r="D72" s="59">
        <v>3.4</v>
      </c>
      <c r="E72" s="57" t="s">
        <v>471</v>
      </c>
      <c r="F72" s="58" t="s">
        <v>472</v>
      </c>
      <c r="G72" s="58" t="s">
        <v>473</v>
      </c>
      <c r="H72" s="61"/>
      <c r="I72" s="61"/>
      <c r="J72" s="61"/>
      <c r="K72" s="61"/>
      <c r="L72" s="61"/>
    </row>
    <row r="73" customFormat="false" ht="15.75" hidden="true" customHeight="true" outlineLevel="0" collapsed="false">
      <c r="A73" s="57" t="s">
        <v>11</v>
      </c>
      <c r="B73" s="58" t="s">
        <v>11</v>
      </c>
      <c r="C73" s="59">
        <v>13</v>
      </c>
      <c r="D73" s="59">
        <v>3.4</v>
      </c>
      <c r="E73" s="57" t="s">
        <v>474</v>
      </c>
      <c r="F73" s="58" t="s">
        <v>475</v>
      </c>
      <c r="G73" s="58" t="s">
        <v>476</v>
      </c>
      <c r="H73" s="61"/>
      <c r="I73" s="61"/>
      <c r="J73" s="61"/>
      <c r="K73" s="61"/>
      <c r="L73" s="61"/>
    </row>
    <row r="74" customFormat="false" ht="20.25" hidden="true" customHeight="true" outlineLevel="0" collapsed="false">
      <c r="A74" s="57" t="s">
        <v>11</v>
      </c>
      <c r="B74" s="58" t="s">
        <v>11</v>
      </c>
      <c r="C74" s="59">
        <v>13</v>
      </c>
      <c r="D74" s="59">
        <v>3.4</v>
      </c>
      <c r="E74" s="57" t="s">
        <v>156</v>
      </c>
      <c r="F74" s="58" t="s">
        <v>157</v>
      </c>
      <c r="G74" s="58" t="s">
        <v>158</v>
      </c>
      <c r="H74" s="60" t="s">
        <v>309</v>
      </c>
      <c r="I74" s="60"/>
      <c r="J74" s="60" t="s">
        <v>233</v>
      </c>
      <c r="K74" s="60" t="s">
        <v>346</v>
      </c>
      <c r="L74" s="60"/>
    </row>
    <row r="75" customFormat="false" ht="23.25" hidden="true" customHeight="true" outlineLevel="0" collapsed="false">
      <c r="A75" s="57" t="s">
        <v>11</v>
      </c>
      <c r="B75" s="58" t="s">
        <v>11</v>
      </c>
      <c r="C75" s="59">
        <v>13</v>
      </c>
      <c r="D75" s="59">
        <v>3.4</v>
      </c>
      <c r="E75" s="57" t="s">
        <v>168</v>
      </c>
      <c r="F75" s="58" t="s">
        <v>169</v>
      </c>
      <c r="G75" s="58" t="s">
        <v>170</v>
      </c>
      <c r="H75" s="65" t="s">
        <v>477</v>
      </c>
      <c r="I75" s="60"/>
      <c r="J75" s="60"/>
      <c r="K75" s="60"/>
      <c r="L75" s="60"/>
    </row>
    <row r="76" customFormat="false" ht="15.75" hidden="true" customHeight="true" outlineLevel="0" collapsed="false">
      <c r="A76" s="57" t="s">
        <v>11</v>
      </c>
      <c r="B76" s="58" t="s">
        <v>210</v>
      </c>
      <c r="C76" s="59">
        <v>13</v>
      </c>
      <c r="D76" s="59">
        <v>3.4</v>
      </c>
      <c r="E76" s="57" t="s">
        <v>211</v>
      </c>
      <c r="F76" s="58" t="s">
        <v>212</v>
      </c>
      <c r="G76" s="58" t="s">
        <v>77</v>
      </c>
      <c r="H76" s="60" t="s">
        <v>309</v>
      </c>
      <c r="I76" s="60"/>
      <c r="J76" s="60" t="s">
        <v>233</v>
      </c>
      <c r="K76" s="60"/>
      <c r="L76" s="60"/>
    </row>
    <row r="77" customFormat="false" ht="15.75" hidden="true" customHeight="true" outlineLevel="0" collapsed="false">
      <c r="A77" s="57" t="s">
        <v>11</v>
      </c>
      <c r="B77" s="58" t="s">
        <v>12</v>
      </c>
      <c r="C77" s="59">
        <v>13</v>
      </c>
      <c r="D77" s="59">
        <v>3.4</v>
      </c>
      <c r="E77" s="57" t="s">
        <v>13</v>
      </c>
      <c r="F77" s="58" t="s">
        <v>14</v>
      </c>
      <c r="G77" s="58" t="s">
        <v>15</v>
      </c>
      <c r="H77" s="60" t="s">
        <v>346</v>
      </c>
      <c r="I77" s="60"/>
      <c r="J77" s="60"/>
      <c r="K77" s="60"/>
      <c r="L77" s="60"/>
    </row>
    <row r="78" customFormat="false" ht="15.75" hidden="true" customHeight="true" outlineLevel="0" collapsed="false">
      <c r="A78" s="57" t="s">
        <v>11</v>
      </c>
      <c r="B78" s="58" t="s">
        <v>12</v>
      </c>
      <c r="C78" s="59">
        <v>13</v>
      </c>
      <c r="D78" s="59">
        <v>3.4</v>
      </c>
      <c r="E78" s="57" t="s">
        <v>102</v>
      </c>
      <c r="F78" s="58" t="s">
        <v>103</v>
      </c>
      <c r="G78" s="58" t="s">
        <v>104</v>
      </c>
      <c r="H78" s="60"/>
      <c r="I78" s="60"/>
      <c r="J78" s="60"/>
      <c r="K78" s="60"/>
      <c r="L78" s="60"/>
    </row>
    <row r="79" customFormat="false" ht="15.75" hidden="true" customHeight="true" outlineLevel="0" collapsed="false">
      <c r="A79" s="57" t="s">
        <v>11</v>
      </c>
      <c r="B79" s="58" t="s">
        <v>12</v>
      </c>
      <c r="C79" s="59">
        <v>13</v>
      </c>
      <c r="D79" s="59">
        <v>3.4</v>
      </c>
      <c r="E79" s="57" t="s">
        <v>44</v>
      </c>
      <c r="F79" s="58" t="s">
        <v>45</v>
      </c>
      <c r="G79" s="58" t="s">
        <v>46</v>
      </c>
      <c r="H79" s="60"/>
      <c r="I79" s="60"/>
      <c r="J79" s="60"/>
      <c r="K79" s="60"/>
      <c r="L79" s="60"/>
    </row>
    <row r="80" customFormat="false" ht="15.75" hidden="true" customHeight="true" outlineLevel="0" collapsed="false">
      <c r="A80" s="57" t="s">
        <v>478</v>
      </c>
      <c r="B80" s="58" t="s">
        <v>478</v>
      </c>
      <c r="C80" s="59">
        <v>13</v>
      </c>
      <c r="D80" s="59">
        <v>3.4</v>
      </c>
      <c r="E80" s="57" t="s">
        <v>479</v>
      </c>
      <c r="F80" s="58" t="s">
        <v>480</v>
      </c>
      <c r="G80" s="58" t="s">
        <v>481</v>
      </c>
      <c r="H80" s="61" t="s">
        <v>352</v>
      </c>
      <c r="I80" s="61"/>
      <c r="J80" s="61"/>
      <c r="K80" s="61"/>
      <c r="L80" s="61"/>
    </row>
    <row r="81" customFormat="false" ht="15.75" hidden="true" customHeight="true" outlineLevel="0" collapsed="false">
      <c r="A81" s="57" t="s">
        <v>478</v>
      </c>
      <c r="B81" s="58" t="s">
        <v>478</v>
      </c>
      <c r="C81" s="59">
        <v>13</v>
      </c>
      <c r="D81" s="59">
        <v>3.4</v>
      </c>
      <c r="E81" s="57" t="s">
        <v>482</v>
      </c>
      <c r="F81" s="58" t="s">
        <v>425</v>
      </c>
      <c r="G81" s="58" t="s">
        <v>483</v>
      </c>
      <c r="H81" s="61"/>
      <c r="I81" s="61"/>
      <c r="J81" s="61"/>
      <c r="K81" s="61"/>
      <c r="L81" s="61"/>
    </row>
    <row r="82" customFormat="false" ht="15.75" hidden="true" customHeight="true" outlineLevel="0" collapsed="false">
      <c r="A82" s="57" t="s">
        <v>478</v>
      </c>
      <c r="B82" s="58" t="s">
        <v>478</v>
      </c>
      <c r="C82" s="59">
        <v>13</v>
      </c>
      <c r="D82" s="59">
        <v>3.4</v>
      </c>
      <c r="E82" s="57" t="s">
        <v>484</v>
      </c>
      <c r="F82" s="58" t="s">
        <v>485</v>
      </c>
      <c r="G82" s="58" t="s">
        <v>486</v>
      </c>
      <c r="H82" s="61"/>
      <c r="I82" s="61"/>
      <c r="J82" s="61"/>
      <c r="K82" s="61"/>
      <c r="L82" s="61"/>
    </row>
    <row r="83" customFormat="false" ht="15.75" hidden="true" customHeight="true" outlineLevel="0" collapsed="false">
      <c r="A83" s="66" t="s">
        <v>11</v>
      </c>
      <c r="B83" s="67" t="s">
        <v>71</v>
      </c>
      <c r="C83" s="68">
        <v>34</v>
      </c>
      <c r="D83" s="68">
        <v>8.85</v>
      </c>
      <c r="E83" s="66" t="s">
        <v>178</v>
      </c>
      <c r="F83" s="67" t="s">
        <v>179</v>
      </c>
      <c r="G83" s="67" t="s">
        <v>180</v>
      </c>
      <c r="H83" s="60" t="s">
        <v>71</v>
      </c>
      <c r="I83" s="60"/>
      <c r="J83" s="60"/>
      <c r="K83" s="60"/>
      <c r="L83" s="60"/>
    </row>
    <row r="84" customFormat="false" ht="15.75" hidden="true" customHeight="true" outlineLevel="0" collapsed="false">
      <c r="A84" s="66" t="s">
        <v>11</v>
      </c>
      <c r="B84" s="67" t="s">
        <v>71</v>
      </c>
      <c r="C84" s="68">
        <v>34</v>
      </c>
      <c r="D84" s="68">
        <v>8.85</v>
      </c>
      <c r="E84" s="66" t="s">
        <v>72</v>
      </c>
      <c r="F84" s="67" t="s">
        <v>73</v>
      </c>
      <c r="G84" s="67" t="s">
        <v>74</v>
      </c>
      <c r="H84" s="60"/>
      <c r="I84" s="60"/>
      <c r="J84" s="60"/>
      <c r="K84" s="60"/>
      <c r="L84" s="60"/>
    </row>
    <row r="85" customFormat="false" ht="15.75" hidden="true" customHeight="true" outlineLevel="0" collapsed="false">
      <c r="A85" s="66" t="s">
        <v>11</v>
      </c>
      <c r="B85" s="67" t="s">
        <v>71</v>
      </c>
      <c r="C85" s="68">
        <v>34</v>
      </c>
      <c r="D85" s="68">
        <v>8.85</v>
      </c>
      <c r="E85" s="66" t="s">
        <v>322</v>
      </c>
      <c r="F85" s="67" t="s">
        <v>219</v>
      </c>
      <c r="G85" s="67" t="s">
        <v>323</v>
      </c>
      <c r="H85" s="60"/>
      <c r="I85" s="60"/>
      <c r="J85" s="60"/>
      <c r="K85" s="60"/>
      <c r="L85" s="60"/>
    </row>
    <row r="86" customFormat="false" ht="15.75" hidden="true" customHeight="true" outlineLevel="0" collapsed="false">
      <c r="A86" s="66" t="s">
        <v>11</v>
      </c>
      <c r="B86" s="67" t="s">
        <v>71</v>
      </c>
      <c r="C86" s="68">
        <v>34</v>
      </c>
      <c r="D86" s="68">
        <v>8.85</v>
      </c>
      <c r="E86" s="66" t="s">
        <v>139</v>
      </c>
      <c r="F86" s="67" t="s">
        <v>118</v>
      </c>
      <c r="G86" s="67" t="s">
        <v>140</v>
      </c>
      <c r="H86" s="60"/>
      <c r="I86" s="60"/>
      <c r="J86" s="60"/>
      <c r="K86" s="60"/>
      <c r="L86" s="60"/>
    </row>
    <row r="87" customFormat="false" ht="15.75" hidden="true" customHeight="true" outlineLevel="0" collapsed="false">
      <c r="A87" s="66" t="s">
        <v>11</v>
      </c>
      <c r="B87" s="67" t="s">
        <v>71</v>
      </c>
      <c r="C87" s="68">
        <v>34</v>
      </c>
      <c r="D87" s="68">
        <v>8.85</v>
      </c>
      <c r="E87" s="66" t="s">
        <v>151</v>
      </c>
      <c r="F87" s="67" t="s">
        <v>152</v>
      </c>
      <c r="G87" s="67" t="s">
        <v>153</v>
      </c>
      <c r="H87" s="60"/>
      <c r="I87" s="60"/>
      <c r="J87" s="60"/>
      <c r="K87" s="60"/>
      <c r="L87" s="60"/>
    </row>
    <row r="88" customFormat="false" ht="15.75" hidden="true" customHeight="true" outlineLevel="0" collapsed="false">
      <c r="A88" s="66" t="s">
        <v>11</v>
      </c>
      <c r="B88" s="67" t="s">
        <v>71</v>
      </c>
      <c r="C88" s="68">
        <v>34</v>
      </c>
      <c r="D88" s="68">
        <v>8.85</v>
      </c>
      <c r="E88" s="66" t="s">
        <v>213</v>
      </c>
      <c r="F88" s="67" t="s">
        <v>214</v>
      </c>
      <c r="G88" s="67" t="s">
        <v>35</v>
      </c>
      <c r="H88" s="60"/>
      <c r="I88" s="60"/>
      <c r="J88" s="60"/>
      <c r="K88" s="60"/>
      <c r="L88" s="60"/>
    </row>
    <row r="89" customFormat="false" ht="15.75" hidden="true" customHeight="true" outlineLevel="0" collapsed="false">
      <c r="A89" s="66" t="s">
        <v>11</v>
      </c>
      <c r="B89" s="67" t="s">
        <v>71</v>
      </c>
      <c r="C89" s="68">
        <v>34</v>
      </c>
      <c r="D89" s="68">
        <v>8.85</v>
      </c>
      <c r="E89" s="66" t="s">
        <v>225</v>
      </c>
      <c r="F89" s="67" t="s">
        <v>118</v>
      </c>
      <c r="G89" s="67" t="s">
        <v>226</v>
      </c>
      <c r="H89" s="60"/>
      <c r="I89" s="60"/>
      <c r="J89" s="60"/>
      <c r="K89" s="60"/>
      <c r="L89" s="60"/>
    </row>
    <row r="90" customFormat="false" ht="15.75" hidden="true" customHeight="true" outlineLevel="0" collapsed="false">
      <c r="A90" s="66" t="s">
        <v>11</v>
      </c>
      <c r="B90" s="67" t="s">
        <v>71</v>
      </c>
      <c r="C90" s="68">
        <v>34</v>
      </c>
      <c r="D90" s="68">
        <v>8.85</v>
      </c>
      <c r="E90" s="66" t="s">
        <v>227</v>
      </c>
      <c r="F90" s="67" t="s">
        <v>228</v>
      </c>
      <c r="G90" s="67" t="s">
        <v>229</v>
      </c>
      <c r="H90" s="60"/>
      <c r="I90" s="60"/>
      <c r="J90" s="60"/>
      <c r="K90" s="60"/>
      <c r="L90" s="60"/>
    </row>
    <row r="91" customFormat="false" ht="15.75" hidden="true" customHeight="true" outlineLevel="0" collapsed="false">
      <c r="A91" s="66" t="s">
        <v>11</v>
      </c>
      <c r="B91" s="67" t="s">
        <v>71</v>
      </c>
      <c r="C91" s="68">
        <v>34</v>
      </c>
      <c r="D91" s="68">
        <v>8.85</v>
      </c>
      <c r="E91" s="66" t="s">
        <v>239</v>
      </c>
      <c r="F91" s="67" t="s">
        <v>240</v>
      </c>
      <c r="G91" s="67" t="s">
        <v>241</v>
      </c>
      <c r="H91" s="60"/>
      <c r="I91" s="60"/>
      <c r="J91" s="60"/>
      <c r="K91" s="60"/>
      <c r="L91" s="60"/>
    </row>
    <row r="92" customFormat="false" ht="15.75" hidden="true" customHeight="true" outlineLevel="0" collapsed="false">
      <c r="A92" s="66" t="s">
        <v>67</v>
      </c>
      <c r="B92" s="67" t="s">
        <v>67</v>
      </c>
      <c r="C92" s="68">
        <v>34</v>
      </c>
      <c r="D92" s="68">
        <v>8.85</v>
      </c>
      <c r="E92" s="69" t="s">
        <v>68</v>
      </c>
      <c r="F92" s="67" t="s">
        <v>69</v>
      </c>
      <c r="G92" s="67" t="s">
        <v>70</v>
      </c>
      <c r="H92" s="60" t="s">
        <v>487</v>
      </c>
      <c r="I92" s="60"/>
      <c r="J92" s="60"/>
      <c r="K92" s="60"/>
      <c r="L92" s="60"/>
    </row>
    <row r="93" customFormat="false" ht="15.75" hidden="true" customHeight="true" outlineLevel="0" collapsed="false">
      <c r="A93" s="66" t="s">
        <v>67</v>
      </c>
      <c r="B93" s="67" t="s">
        <v>67</v>
      </c>
      <c r="C93" s="68">
        <v>34</v>
      </c>
      <c r="D93" s="68">
        <v>8.85</v>
      </c>
      <c r="E93" s="69" t="s">
        <v>75</v>
      </c>
      <c r="F93" s="67" t="s">
        <v>76</v>
      </c>
      <c r="G93" s="67" t="s">
        <v>77</v>
      </c>
      <c r="H93" s="60"/>
      <c r="I93" s="60"/>
      <c r="J93" s="60"/>
      <c r="K93" s="60"/>
      <c r="L93" s="60"/>
    </row>
    <row r="94" customFormat="false" ht="15.75" hidden="true" customHeight="true" outlineLevel="0" collapsed="false">
      <c r="A94" s="66" t="s">
        <v>67</v>
      </c>
      <c r="B94" s="67" t="s">
        <v>67</v>
      </c>
      <c r="C94" s="68">
        <v>34</v>
      </c>
      <c r="D94" s="68">
        <v>8.85</v>
      </c>
      <c r="E94" s="69" t="s">
        <v>78</v>
      </c>
      <c r="F94" s="67" t="s">
        <v>79</v>
      </c>
      <c r="G94" s="67" t="s">
        <v>80</v>
      </c>
      <c r="H94" s="60"/>
      <c r="I94" s="60"/>
      <c r="J94" s="60"/>
      <c r="K94" s="60"/>
      <c r="L94" s="60"/>
    </row>
    <row r="95" customFormat="false" ht="15.75" hidden="true" customHeight="true" outlineLevel="0" collapsed="false">
      <c r="A95" s="66" t="s">
        <v>67</v>
      </c>
      <c r="B95" s="67" t="s">
        <v>67</v>
      </c>
      <c r="C95" s="68">
        <v>34</v>
      </c>
      <c r="D95" s="68">
        <v>8.85</v>
      </c>
      <c r="E95" s="69" t="s">
        <v>87</v>
      </c>
      <c r="F95" s="67" t="s">
        <v>88</v>
      </c>
      <c r="G95" s="67" t="s">
        <v>70</v>
      </c>
      <c r="H95" s="60"/>
      <c r="I95" s="60"/>
      <c r="J95" s="60"/>
      <c r="K95" s="60"/>
      <c r="L95" s="60"/>
    </row>
    <row r="96" customFormat="false" ht="15.75" hidden="true" customHeight="true" outlineLevel="0" collapsed="false">
      <c r="A96" s="66" t="s">
        <v>67</v>
      </c>
      <c r="B96" s="67" t="s">
        <v>67</v>
      </c>
      <c r="C96" s="68">
        <v>34</v>
      </c>
      <c r="D96" s="68">
        <v>8.85</v>
      </c>
      <c r="E96" s="69" t="s">
        <v>109</v>
      </c>
      <c r="F96" s="67" t="s">
        <v>110</v>
      </c>
      <c r="G96" s="67" t="s">
        <v>70</v>
      </c>
      <c r="H96" s="60"/>
      <c r="I96" s="60"/>
      <c r="J96" s="60"/>
      <c r="K96" s="60"/>
      <c r="L96" s="60"/>
    </row>
    <row r="97" customFormat="false" ht="15.75" hidden="true" customHeight="true" outlineLevel="0" collapsed="false">
      <c r="A97" s="66" t="s">
        <v>67</v>
      </c>
      <c r="B97" s="67" t="s">
        <v>67</v>
      </c>
      <c r="C97" s="68">
        <v>34</v>
      </c>
      <c r="D97" s="68">
        <v>8.85</v>
      </c>
      <c r="E97" s="69" t="s">
        <v>114</v>
      </c>
      <c r="F97" s="67" t="s">
        <v>137</v>
      </c>
      <c r="G97" s="67" t="s">
        <v>116</v>
      </c>
      <c r="H97" s="60"/>
      <c r="I97" s="60"/>
      <c r="J97" s="60"/>
      <c r="K97" s="60"/>
      <c r="L97" s="60"/>
    </row>
    <row r="98" customFormat="false" ht="15.75" hidden="true" customHeight="true" outlineLevel="0" collapsed="false">
      <c r="A98" s="66" t="s">
        <v>67</v>
      </c>
      <c r="B98" s="67" t="s">
        <v>67</v>
      </c>
      <c r="C98" s="68">
        <v>34</v>
      </c>
      <c r="D98" s="68">
        <v>8.85</v>
      </c>
      <c r="E98" s="69" t="s">
        <v>159</v>
      </c>
      <c r="F98" s="67" t="s">
        <v>160</v>
      </c>
      <c r="G98" s="67" t="s">
        <v>70</v>
      </c>
      <c r="H98" s="60"/>
      <c r="I98" s="60"/>
      <c r="J98" s="60"/>
      <c r="K98" s="60"/>
      <c r="L98" s="60"/>
    </row>
    <row r="99" customFormat="false" ht="15.75" hidden="true" customHeight="true" outlineLevel="0" collapsed="false">
      <c r="A99" s="66" t="s">
        <v>67</v>
      </c>
      <c r="B99" s="67" t="s">
        <v>67</v>
      </c>
      <c r="C99" s="68">
        <v>34</v>
      </c>
      <c r="D99" s="68">
        <v>8.85</v>
      </c>
      <c r="E99" s="69" t="s">
        <v>161</v>
      </c>
      <c r="F99" s="67" t="s">
        <v>162</v>
      </c>
      <c r="G99" s="67" t="s">
        <v>70</v>
      </c>
      <c r="H99" s="60"/>
      <c r="I99" s="60"/>
      <c r="J99" s="60"/>
      <c r="K99" s="60"/>
      <c r="L99" s="60"/>
    </row>
    <row r="100" customFormat="false" ht="15.75" hidden="true" customHeight="true" outlineLevel="0" collapsed="false">
      <c r="A100" s="66" t="s">
        <v>488</v>
      </c>
      <c r="B100" s="67" t="s">
        <v>488</v>
      </c>
      <c r="C100" s="68">
        <v>34</v>
      </c>
      <c r="D100" s="68">
        <v>8.85</v>
      </c>
      <c r="E100" s="66" t="s">
        <v>489</v>
      </c>
      <c r="F100" s="67" t="s">
        <v>490</v>
      </c>
      <c r="G100" s="67" t="s">
        <v>491</v>
      </c>
      <c r="H100" s="61" t="s">
        <v>492</v>
      </c>
      <c r="I100" s="61"/>
      <c r="J100" s="61"/>
      <c r="K100" s="61"/>
      <c r="L100" s="61"/>
    </row>
    <row r="101" customFormat="false" ht="15.75" hidden="true" customHeight="true" outlineLevel="0" collapsed="false">
      <c r="A101" s="66" t="s">
        <v>488</v>
      </c>
      <c r="B101" s="67" t="s">
        <v>488</v>
      </c>
      <c r="C101" s="68">
        <v>34</v>
      </c>
      <c r="D101" s="68">
        <v>8.85</v>
      </c>
      <c r="E101" s="66" t="s">
        <v>493</v>
      </c>
      <c r="F101" s="67" t="s">
        <v>494</v>
      </c>
      <c r="G101" s="67" t="s">
        <v>495</v>
      </c>
      <c r="H101" s="61"/>
      <c r="I101" s="61"/>
      <c r="J101" s="61"/>
      <c r="K101" s="61"/>
      <c r="L101" s="61"/>
    </row>
    <row r="102" customFormat="false" ht="15.75" hidden="true" customHeight="true" outlineLevel="0" collapsed="false">
      <c r="A102" s="66" t="s">
        <v>488</v>
      </c>
      <c r="B102" s="67" t="s">
        <v>488</v>
      </c>
      <c r="C102" s="68">
        <v>34</v>
      </c>
      <c r="D102" s="68">
        <v>8.85</v>
      </c>
      <c r="E102" s="66" t="s">
        <v>496</v>
      </c>
      <c r="F102" s="67" t="s">
        <v>497</v>
      </c>
      <c r="G102" s="67" t="s">
        <v>498</v>
      </c>
      <c r="H102" s="61"/>
      <c r="I102" s="61"/>
      <c r="J102" s="61"/>
      <c r="K102" s="61"/>
      <c r="L102" s="61"/>
    </row>
    <row r="103" customFormat="false" ht="15.75" hidden="true" customHeight="true" outlineLevel="0" collapsed="false">
      <c r="A103" s="66" t="s">
        <v>488</v>
      </c>
      <c r="B103" s="67" t="s">
        <v>488</v>
      </c>
      <c r="C103" s="68">
        <v>34</v>
      </c>
      <c r="D103" s="68">
        <v>8.85</v>
      </c>
      <c r="E103" s="66" t="s">
        <v>499</v>
      </c>
      <c r="F103" s="67" t="s">
        <v>62</v>
      </c>
      <c r="G103" s="67" t="s">
        <v>500</v>
      </c>
      <c r="H103" s="61"/>
      <c r="I103" s="61"/>
      <c r="J103" s="61"/>
      <c r="K103" s="61"/>
      <c r="L103" s="61"/>
    </row>
    <row r="104" customFormat="false" ht="15.75" hidden="true" customHeight="true" outlineLevel="0" collapsed="false">
      <c r="A104" s="66" t="s">
        <v>488</v>
      </c>
      <c r="B104" s="67" t="s">
        <v>488</v>
      </c>
      <c r="C104" s="68">
        <v>34</v>
      </c>
      <c r="D104" s="68">
        <v>8.85</v>
      </c>
      <c r="E104" s="66" t="s">
        <v>501</v>
      </c>
      <c r="F104" s="67" t="s">
        <v>502</v>
      </c>
      <c r="G104" s="67" t="s">
        <v>503</v>
      </c>
      <c r="H104" s="61"/>
      <c r="I104" s="61"/>
      <c r="J104" s="61"/>
      <c r="K104" s="61"/>
      <c r="L104" s="61"/>
    </row>
    <row r="105" customFormat="false" ht="15.75" hidden="true" customHeight="true" outlineLevel="0" collapsed="false">
      <c r="A105" s="66" t="s">
        <v>488</v>
      </c>
      <c r="B105" s="67" t="s">
        <v>488</v>
      </c>
      <c r="C105" s="68">
        <v>34</v>
      </c>
      <c r="D105" s="68">
        <v>8.85</v>
      </c>
      <c r="E105" s="66" t="s">
        <v>504</v>
      </c>
      <c r="F105" s="67" t="s">
        <v>505</v>
      </c>
      <c r="G105" s="67" t="s">
        <v>506</v>
      </c>
      <c r="H105" s="61"/>
      <c r="I105" s="61"/>
      <c r="J105" s="61"/>
      <c r="K105" s="61"/>
      <c r="L105" s="61"/>
    </row>
    <row r="106" customFormat="false" ht="15.75" hidden="true" customHeight="true" outlineLevel="0" collapsed="false">
      <c r="A106" s="66" t="s">
        <v>11</v>
      </c>
      <c r="B106" s="67" t="s">
        <v>319</v>
      </c>
      <c r="C106" s="68">
        <v>34</v>
      </c>
      <c r="D106" s="68">
        <v>8.85</v>
      </c>
      <c r="E106" s="66" t="s">
        <v>320</v>
      </c>
      <c r="F106" s="67" t="s">
        <v>173</v>
      </c>
      <c r="G106" s="67" t="s">
        <v>321</v>
      </c>
      <c r="H106" s="60" t="s">
        <v>507</v>
      </c>
      <c r="I106" s="60"/>
      <c r="J106" s="60"/>
      <c r="K106" s="60"/>
      <c r="L106" s="60"/>
    </row>
    <row r="107" customFormat="false" ht="15.75" hidden="true" customHeight="true" outlineLevel="0" collapsed="false">
      <c r="A107" s="66" t="s">
        <v>59</v>
      </c>
      <c r="B107" s="67" t="s">
        <v>60</v>
      </c>
      <c r="C107" s="68">
        <v>34</v>
      </c>
      <c r="D107" s="68">
        <v>8.85</v>
      </c>
      <c r="E107" s="66" t="s">
        <v>81</v>
      </c>
      <c r="F107" s="67" t="s">
        <v>82</v>
      </c>
      <c r="G107" s="67" t="s">
        <v>83</v>
      </c>
      <c r="H107" s="60"/>
      <c r="I107" s="60"/>
      <c r="J107" s="60"/>
      <c r="K107" s="60"/>
      <c r="L107" s="60"/>
    </row>
    <row r="108" customFormat="false" ht="15.75" hidden="true" customHeight="true" outlineLevel="0" collapsed="false">
      <c r="A108" s="66" t="s">
        <v>59</v>
      </c>
      <c r="B108" s="67" t="s">
        <v>60</v>
      </c>
      <c r="C108" s="68">
        <v>34</v>
      </c>
      <c r="D108" s="68">
        <v>8.85</v>
      </c>
      <c r="E108" s="69" t="s">
        <v>111</v>
      </c>
      <c r="F108" s="67" t="s">
        <v>112</v>
      </c>
      <c r="G108" s="67" t="s">
        <v>113</v>
      </c>
      <c r="H108" s="60"/>
      <c r="I108" s="60"/>
      <c r="J108" s="60"/>
      <c r="K108" s="60"/>
      <c r="L108" s="60"/>
    </row>
    <row r="109" customFormat="false" ht="15.75" hidden="true" customHeight="true" outlineLevel="0" collapsed="false">
      <c r="A109" s="66" t="s">
        <v>59</v>
      </c>
      <c r="B109" s="67" t="s">
        <v>60</v>
      </c>
      <c r="C109" s="68">
        <v>34</v>
      </c>
      <c r="D109" s="68">
        <v>8.85</v>
      </c>
      <c r="E109" s="69" t="s">
        <v>61</v>
      </c>
      <c r="F109" s="67" t="s">
        <v>62</v>
      </c>
      <c r="G109" s="67" t="s">
        <v>63</v>
      </c>
      <c r="H109" s="60"/>
      <c r="I109" s="60"/>
      <c r="J109" s="60"/>
      <c r="K109" s="60"/>
      <c r="L109" s="60"/>
    </row>
    <row r="110" customFormat="false" ht="15.75" hidden="true" customHeight="true" outlineLevel="0" collapsed="false">
      <c r="A110" s="66" t="s">
        <v>59</v>
      </c>
      <c r="B110" s="67" t="s">
        <v>60</v>
      </c>
      <c r="C110" s="68">
        <v>34</v>
      </c>
      <c r="D110" s="68">
        <v>8.85</v>
      </c>
      <c r="E110" s="69" t="s">
        <v>324</v>
      </c>
      <c r="F110" s="67" t="s">
        <v>325</v>
      </c>
      <c r="G110" s="67" t="s">
        <v>326</v>
      </c>
      <c r="H110" s="60"/>
      <c r="I110" s="60"/>
      <c r="J110" s="60"/>
      <c r="K110" s="60"/>
      <c r="L110" s="60"/>
    </row>
    <row r="111" customFormat="false" ht="15.75" hidden="true" customHeight="true" outlineLevel="0" collapsed="false">
      <c r="A111" s="66" t="s">
        <v>126</v>
      </c>
      <c r="B111" s="67" t="s">
        <v>141</v>
      </c>
      <c r="C111" s="68">
        <v>34</v>
      </c>
      <c r="D111" s="68">
        <v>8.85</v>
      </c>
      <c r="E111" s="69" t="s">
        <v>142</v>
      </c>
      <c r="F111" s="67" t="s">
        <v>143</v>
      </c>
      <c r="G111" s="67" t="s">
        <v>144</v>
      </c>
      <c r="H111" s="60"/>
      <c r="I111" s="60"/>
      <c r="J111" s="60"/>
      <c r="K111" s="60"/>
      <c r="L111" s="60"/>
    </row>
    <row r="112" customFormat="false" ht="15.75" hidden="true" customHeight="true" outlineLevel="0" collapsed="false">
      <c r="A112" s="66" t="s">
        <v>22</v>
      </c>
      <c r="B112" s="67" t="s">
        <v>508</v>
      </c>
      <c r="C112" s="68">
        <v>34</v>
      </c>
      <c r="D112" s="68">
        <v>8.85</v>
      </c>
      <c r="E112" s="66" t="s">
        <v>509</v>
      </c>
      <c r="F112" s="67" t="s">
        <v>510</v>
      </c>
      <c r="G112" s="67" t="s">
        <v>511</v>
      </c>
      <c r="H112" s="61" t="s">
        <v>512</v>
      </c>
      <c r="I112" s="61"/>
      <c r="J112" s="61"/>
      <c r="K112" s="61"/>
      <c r="L112" s="61"/>
    </row>
    <row r="113" customFormat="false" ht="15.75" hidden="true" customHeight="true" outlineLevel="0" collapsed="false">
      <c r="A113" s="66" t="s">
        <v>22</v>
      </c>
      <c r="B113" s="67" t="s">
        <v>508</v>
      </c>
      <c r="C113" s="68">
        <v>34</v>
      </c>
      <c r="D113" s="68">
        <v>8.85</v>
      </c>
      <c r="E113" s="66" t="s">
        <v>513</v>
      </c>
      <c r="F113" s="67" t="s">
        <v>514</v>
      </c>
      <c r="G113" s="67" t="s">
        <v>26</v>
      </c>
      <c r="H113" s="61"/>
      <c r="I113" s="61"/>
      <c r="J113" s="61"/>
      <c r="K113" s="61"/>
      <c r="L113" s="61"/>
    </row>
    <row r="114" customFormat="false" ht="15.75" hidden="true" customHeight="true" outlineLevel="0" collapsed="false">
      <c r="A114" s="70" t="s">
        <v>11</v>
      </c>
      <c r="B114" s="71" t="s">
        <v>515</v>
      </c>
      <c r="C114" s="72">
        <v>83</v>
      </c>
      <c r="D114" s="72">
        <v>1.6</v>
      </c>
      <c r="E114" s="70" t="s">
        <v>516</v>
      </c>
      <c r="F114" s="71" t="s">
        <v>517</v>
      </c>
      <c r="G114" s="71" t="s">
        <v>518</v>
      </c>
      <c r="H114" s="61" t="s">
        <v>519</v>
      </c>
      <c r="I114" s="61"/>
      <c r="J114" s="61"/>
      <c r="K114" s="61"/>
      <c r="L114" s="61"/>
    </row>
    <row r="115" customFormat="false" ht="15.75" hidden="true" customHeight="true" outlineLevel="0" collapsed="false">
      <c r="A115" s="70" t="s">
        <v>11</v>
      </c>
      <c r="B115" s="71" t="s">
        <v>515</v>
      </c>
      <c r="C115" s="72">
        <v>83</v>
      </c>
      <c r="D115" s="72">
        <v>1.6</v>
      </c>
      <c r="E115" s="70" t="s">
        <v>520</v>
      </c>
      <c r="F115" s="71" t="s">
        <v>521</v>
      </c>
      <c r="G115" s="71" t="s">
        <v>522</v>
      </c>
      <c r="H115" s="61"/>
      <c r="I115" s="61"/>
      <c r="J115" s="61"/>
      <c r="K115" s="61"/>
      <c r="L115" s="61"/>
    </row>
    <row r="116" customFormat="false" ht="15.75" hidden="true" customHeight="true" outlineLevel="0" collapsed="false">
      <c r="A116" s="70" t="s">
        <v>11</v>
      </c>
      <c r="B116" s="71" t="s">
        <v>515</v>
      </c>
      <c r="C116" s="72">
        <v>83</v>
      </c>
      <c r="D116" s="72">
        <v>1.6</v>
      </c>
      <c r="E116" s="70" t="s">
        <v>523</v>
      </c>
      <c r="F116" s="71" t="s">
        <v>137</v>
      </c>
      <c r="G116" s="71" t="s">
        <v>524</v>
      </c>
      <c r="H116" s="61"/>
      <c r="I116" s="61"/>
      <c r="J116" s="61"/>
      <c r="K116" s="61"/>
      <c r="L116" s="61"/>
    </row>
    <row r="117" customFormat="false" ht="15.75" hidden="true" customHeight="true" outlineLevel="0" collapsed="false">
      <c r="A117" s="70" t="s">
        <v>11</v>
      </c>
      <c r="B117" s="71" t="s">
        <v>515</v>
      </c>
      <c r="C117" s="72">
        <v>83</v>
      </c>
      <c r="D117" s="72">
        <v>1.6</v>
      </c>
      <c r="E117" s="70" t="s">
        <v>525</v>
      </c>
      <c r="F117" s="71" t="s">
        <v>193</v>
      </c>
      <c r="G117" s="71" t="s">
        <v>526</v>
      </c>
      <c r="H117" s="61"/>
      <c r="I117" s="61"/>
      <c r="J117" s="61"/>
      <c r="K117" s="61"/>
      <c r="L117" s="61"/>
    </row>
    <row r="118" customFormat="false" ht="15.75" hidden="true" customHeight="true" outlineLevel="0" collapsed="false">
      <c r="A118" s="70" t="s">
        <v>11</v>
      </c>
      <c r="B118" s="71" t="s">
        <v>515</v>
      </c>
      <c r="C118" s="72">
        <v>83</v>
      </c>
      <c r="D118" s="72">
        <v>1.6</v>
      </c>
      <c r="E118" s="70" t="s">
        <v>527</v>
      </c>
      <c r="F118" s="71" t="s">
        <v>361</v>
      </c>
      <c r="G118" s="71" t="s">
        <v>528</v>
      </c>
      <c r="H118" s="61"/>
      <c r="I118" s="61"/>
      <c r="J118" s="61"/>
      <c r="K118" s="61"/>
      <c r="L118" s="61"/>
    </row>
    <row r="119" customFormat="false" ht="15.75" hidden="true" customHeight="true" outlineLevel="0" collapsed="false">
      <c r="A119" s="70" t="s">
        <v>11</v>
      </c>
      <c r="B119" s="71" t="s">
        <v>515</v>
      </c>
      <c r="C119" s="72">
        <v>83</v>
      </c>
      <c r="D119" s="72">
        <v>1.6</v>
      </c>
      <c r="E119" s="70" t="s">
        <v>529</v>
      </c>
      <c r="F119" s="71" t="s">
        <v>530</v>
      </c>
      <c r="G119" s="71" t="s">
        <v>531</v>
      </c>
      <c r="H119" s="61"/>
      <c r="I119" s="61"/>
      <c r="J119" s="61"/>
      <c r="K119" s="61"/>
      <c r="L119" s="61"/>
    </row>
    <row r="120" customFormat="false" ht="15.75" hidden="true" customHeight="true" outlineLevel="0" collapsed="false">
      <c r="A120" s="70" t="s">
        <v>11</v>
      </c>
      <c r="B120" s="71" t="s">
        <v>515</v>
      </c>
      <c r="C120" s="72">
        <v>83</v>
      </c>
      <c r="D120" s="72">
        <v>1.6</v>
      </c>
      <c r="E120" s="70" t="s">
        <v>532</v>
      </c>
      <c r="F120" s="71" t="s">
        <v>118</v>
      </c>
      <c r="G120" s="71" t="s">
        <v>533</v>
      </c>
      <c r="H120" s="61"/>
      <c r="I120" s="61"/>
      <c r="J120" s="61"/>
      <c r="K120" s="61"/>
      <c r="L120" s="61"/>
    </row>
    <row r="121" customFormat="false" ht="15.75" hidden="false" customHeight="true" outlineLevel="0" collapsed="false">
      <c r="A121" s="70" t="s">
        <v>39</v>
      </c>
      <c r="B121" s="71" t="s">
        <v>40</v>
      </c>
      <c r="C121" s="72">
        <v>83</v>
      </c>
      <c r="D121" s="72">
        <v>1.6</v>
      </c>
      <c r="E121" s="70" t="s">
        <v>534</v>
      </c>
      <c r="F121" s="71" t="s">
        <v>99</v>
      </c>
      <c r="G121" s="71" t="s">
        <v>535</v>
      </c>
      <c r="H121" s="61" t="s">
        <v>536</v>
      </c>
      <c r="I121" s="61"/>
      <c r="J121" s="61"/>
      <c r="K121" s="61"/>
      <c r="L121" s="61"/>
    </row>
    <row r="122" customFormat="false" ht="15.75" hidden="false" customHeight="true" outlineLevel="0" collapsed="false">
      <c r="A122" s="70" t="s">
        <v>39</v>
      </c>
      <c r="B122" s="71" t="s">
        <v>40</v>
      </c>
      <c r="C122" s="72">
        <v>83</v>
      </c>
      <c r="D122" s="72">
        <v>1.6</v>
      </c>
      <c r="E122" s="70" t="s">
        <v>41</v>
      </c>
      <c r="F122" s="71" t="s">
        <v>42</v>
      </c>
      <c r="G122" s="71" t="s">
        <v>43</v>
      </c>
      <c r="H122" s="61"/>
      <c r="I122" s="61"/>
      <c r="J122" s="61"/>
      <c r="K122" s="61"/>
      <c r="L122" s="61"/>
    </row>
    <row r="123" customFormat="false" ht="15.75" hidden="false" customHeight="true" outlineLevel="0" collapsed="false">
      <c r="A123" s="70" t="s">
        <v>39</v>
      </c>
      <c r="B123" s="71" t="s">
        <v>40</v>
      </c>
      <c r="C123" s="72">
        <v>83</v>
      </c>
      <c r="D123" s="72">
        <v>1.6</v>
      </c>
      <c r="E123" s="70" t="s">
        <v>537</v>
      </c>
      <c r="F123" s="71" t="s">
        <v>538</v>
      </c>
      <c r="G123" s="71" t="s">
        <v>539</v>
      </c>
      <c r="H123" s="61"/>
      <c r="I123" s="61"/>
      <c r="J123" s="61"/>
      <c r="K123" s="61"/>
      <c r="L123" s="61"/>
    </row>
    <row r="124" customFormat="false" ht="15.75" hidden="false" customHeight="true" outlineLevel="0" collapsed="false">
      <c r="A124" s="70" t="s">
        <v>39</v>
      </c>
      <c r="B124" s="71" t="s">
        <v>40</v>
      </c>
      <c r="C124" s="72">
        <v>83</v>
      </c>
      <c r="D124" s="72">
        <v>1.6</v>
      </c>
      <c r="E124" s="70" t="s">
        <v>540</v>
      </c>
      <c r="F124" s="71" t="s">
        <v>541</v>
      </c>
      <c r="G124" s="71" t="s">
        <v>542</v>
      </c>
      <c r="H124" s="61"/>
      <c r="I124" s="61"/>
      <c r="J124" s="61"/>
      <c r="K124" s="61"/>
      <c r="L124" s="61"/>
    </row>
    <row r="125" customFormat="false" ht="15.75" hidden="false" customHeight="true" outlineLevel="0" collapsed="false">
      <c r="A125" s="70" t="s">
        <v>39</v>
      </c>
      <c r="B125" s="71" t="s">
        <v>40</v>
      </c>
      <c r="C125" s="72">
        <v>83</v>
      </c>
      <c r="D125" s="72">
        <v>1.6</v>
      </c>
      <c r="E125" s="70" t="s">
        <v>543</v>
      </c>
      <c r="F125" s="71" t="s">
        <v>425</v>
      </c>
      <c r="G125" s="71" t="s">
        <v>244</v>
      </c>
      <c r="H125" s="61"/>
      <c r="I125" s="61"/>
      <c r="J125" s="61"/>
      <c r="K125" s="61"/>
      <c r="L125" s="61"/>
    </row>
    <row r="126" customFormat="false" ht="15.75" hidden="false" customHeight="true" outlineLevel="0" collapsed="false">
      <c r="A126" s="70" t="s">
        <v>39</v>
      </c>
      <c r="B126" s="71" t="s">
        <v>40</v>
      </c>
      <c r="C126" s="72">
        <v>83</v>
      </c>
      <c r="D126" s="72">
        <v>1.6</v>
      </c>
      <c r="E126" s="70" t="s">
        <v>117</v>
      </c>
      <c r="F126" s="71" t="s">
        <v>118</v>
      </c>
      <c r="G126" s="71" t="s">
        <v>119</v>
      </c>
      <c r="H126" s="61"/>
      <c r="I126" s="61"/>
      <c r="J126" s="61"/>
      <c r="K126" s="61"/>
      <c r="L126" s="61"/>
    </row>
    <row r="127" customFormat="false" ht="15.75" hidden="false" customHeight="true" outlineLevel="0" collapsed="false">
      <c r="A127" s="70" t="s">
        <v>39</v>
      </c>
      <c r="B127" s="71" t="s">
        <v>40</v>
      </c>
      <c r="C127" s="72">
        <v>83</v>
      </c>
      <c r="D127" s="72">
        <v>1.6</v>
      </c>
      <c r="E127" s="70" t="s">
        <v>544</v>
      </c>
      <c r="F127" s="71" t="s">
        <v>351</v>
      </c>
      <c r="G127" s="71" t="s">
        <v>545</v>
      </c>
      <c r="H127" s="61"/>
      <c r="I127" s="61"/>
      <c r="J127" s="61"/>
      <c r="K127" s="61"/>
      <c r="L127" s="61"/>
    </row>
    <row r="128" customFormat="false" ht="15.75" hidden="false" customHeight="true" outlineLevel="0" collapsed="false">
      <c r="A128" s="70" t="s">
        <v>39</v>
      </c>
      <c r="B128" s="71" t="s">
        <v>40</v>
      </c>
      <c r="C128" s="72">
        <v>83</v>
      </c>
      <c r="D128" s="72">
        <v>1.6</v>
      </c>
      <c r="E128" s="70" t="s">
        <v>546</v>
      </c>
      <c r="F128" s="71" t="s">
        <v>547</v>
      </c>
      <c r="G128" s="71" t="s">
        <v>147</v>
      </c>
      <c r="H128" s="61"/>
      <c r="I128" s="61"/>
      <c r="J128" s="61"/>
      <c r="K128" s="61"/>
      <c r="L128" s="61"/>
    </row>
    <row r="129" customFormat="false" ht="15.75" hidden="false" customHeight="true" outlineLevel="0" collapsed="false">
      <c r="A129" s="70" t="s">
        <v>39</v>
      </c>
      <c r="B129" s="71" t="s">
        <v>40</v>
      </c>
      <c r="C129" s="72">
        <v>83</v>
      </c>
      <c r="D129" s="72">
        <v>1.6</v>
      </c>
      <c r="E129" s="70" t="s">
        <v>548</v>
      </c>
      <c r="F129" s="71" t="s">
        <v>110</v>
      </c>
      <c r="G129" s="71" t="s">
        <v>549</v>
      </c>
      <c r="H129" s="61"/>
      <c r="I129" s="61"/>
      <c r="J129" s="61"/>
      <c r="K129" s="61"/>
      <c r="L129" s="61"/>
    </row>
    <row r="130" customFormat="false" ht="15.75" hidden="false" customHeight="true" outlineLevel="0" collapsed="false">
      <c r="A130" s="70" t="s">
        <v>39</v>
      </c>
      <c r="B130" s="71" t="s">
        <v>40</v>
      </c>
      <c r="C130" s="72">
        <v>83</v>
      </c>
      <c r="D130" s="72">
        <v>1.6</v>
      </c>
      <c r="E130" s="70" t="s">
        <v>550</v>
      </c>
      <c r="F130" s="71" t="s">
        <v>551</v>
      </c>
      <c r="G130" s="71" t="s">
        <v>552</v>
      </c>
      <c r="H130" s="61"/>
      <c r="I130" s="61"/>
      <c r="J130" s="61"/>
      <c r="K130" s="61"/>
      <c r="L130" s="61"/>
    </row>
    <row r="131" customFormat="false" ht="15.75" hidden="false" customHeight="true" outlineLevel="0" collapsed="false">
      <c r="A131" s="70" t="s">
        <v>39</v>
      </c>
      <c r="B131" s="71" t="s">
        <v>40</v>
      </c>
      <c r="C131" s="72">
        <v>83</v>
      </c>
      <c r="D131" s="72">
        <v>1.6</v>
      </c>
      <c r="E131" s="70" t="s">
        <v>553</v>
      </c>
      <c r="F131" s="71" t="s">
        <v>90</v>
      </c>
      <c r="G131" s="71" t="s">
        <v>77</v>
      </c>
      <c r="H131" s="61"/>
      <c r="I131" s="61"/>
      <c r="J131" s="61"/>
      <c r="K131" s="61"/>
      <c r="L131" s="61"/>
    </row>
    <row r="132" customFormat="false" ht="15.75" hidden="false" customHeight="true" outlineLevel="0" collapsed="false">
      <c r="A132" s="70" t="s">
        <v>39</v>
      </c>
      <c r="B132" s="71" t="s">
        <v>40</v>
      </c>
      <c r="C132" s="72">
        <v>83</v>
      </c>
      <c r="D132" s="72">
        <v>1.6</v>
      </c>
      <c r="E132" s="70" t="s">
        <v>242</v>
      </c>
      <c r="F132" s="71" t="s">
        <v>243</v>
      </c>
      <c r="G132" s="71" t="s">
        <v>244</v>
      </c>
      <c r="H132" s="61"/>
      <c r="I132" s="61"/>
      <c r="J132" s="61"/>
      <c r="K132" s="61"/>
      <c r="L132" s="61"/>
    </row>
    <row r="133" customFormat="false" ht="15.75" hidden="true" customHeight="true" outlineLevel="0" collapsed="false">
      <c r="A133" s="70" t="s">
        <v>50</v>
      </c>
      <c r="B133" s="71" t="s">
        <v>554</v>
      </c>
      <c r="C133" s="72">
        <v>83</v>
      </c>
      <c r="D133" s="72">
        <v>1.6</v>
      </c>
      <c r="E133" s="70" t="s">
        <v>555</v>
      </c>
      <c r="F133" s="71" t="s">
        <v>556</v>
      </c>
      <c r="G133" s="71" t="s">
        <v>70</v>
      </c>
      <c r="H133" s="61"/>
      <c r="I133" s="61"/>
      <c r="J133" s="61"/>
      <c r="K133" s="61"/>
      <c r="L133" s="61"/>
    </row>
    <row r="134" customFormat="false" ht="15.75" hidden="true" customHeight="true" outlineLevel="0" collapsed="false">
      <c r="A134" s="70" t="s">
        <v>50</v>
      </c>
      <c r="B134" s="71" t="s">
        <v>554</v>
      </c>
      <c r="C134" s="72">
        <v>83</v>
      </c>
      <c r="D134" s="72">
        <v>1.6</v>
      </c>
      <c r="E134" s="70" t="s">
        <v>557</v>
      </c>
      <c r="F134" s="71" t="s">
        <v>216</v>
      </c>
      <c r="G134" s="71" t="s">
        <v>138</v>
      </c>
      <c r="H134" s="61"/>
      <c r="I134" s="61"/>
      <c r="J134" s="61"/>
      <c r="K134" s="61"/>
      <c r="L134" s="61"/>
    </row>
    <row r="135" customFormat="false" ht="15.75" hidden="true" customHeight="true" outlineLevel="0" collapsed="false">
      <c r="A135" s="70" t="s">
        <v>50</v>
      </c>
      <c r="B135" s="71" t="s">
        <v>554</v>
      </c>
      <c r="C135" s="72">
        <v>83</v>
      </c>
      <c r="D135" s="72">
        <v>1.6</v>
      </c>
      <c r="E135" s="70" t="s">
        <v>558</v>
      </c>
      <c r="F135" s="71" t="s">
        <v>559</v>
      </c>
      <c r="G135" s="71" t="s">
        <v>138</v>
      </c>
      <c r="H135" s="61"/>
      <c r="I135" s="61"/>
      <c r="J135" s="61"/>
      <c r="K135" s="61"/>
      <c r="L135" s="61"/>
    </row>
    <row r="136" customFormat="false" ht="15.75" hidden="true" customHeight="true" outlineLevel="0" collapsed="false">
      <c r="A136" s="70" t="s">
        <v>50</v>
      </c>
      <c r="B136" s="71" t="s">
        <v>554</v>
      </c>
      <c r="C136" s="72">
        <v>83</v>
      </c>
      <c r="D136" s="72">
        <v>1.6</v>
      </c>
      <c r="E136" s="70" t="s">
        <v>560</v>
      </c>
      <c r="F136" s="71" t="s">
        <v>541</v>
      </c>
      <c r="G136" s="71" t="s">
        <v>561</v>
      </c>
      <c r="H136" s="61"/>
      <c r="I136" s="61"/>
      <c r="J136" s="61"/>
      <c r="K136" s="61"/>
      <c r="L136" s="61"/>
    </row>
    <row r="137" customFormat="false" ht="15.75" hidden="true" customHeight="true" outlineLevel="0" collapsed="false">
      <c r="A137" s="70" t="s">
        <v>50</v>
      </c>
      <c r="B137" s="71" t="s">
        <v>554</v>
      </c>
      <c r="C137" s="72">
        <v>83</v>
      </c>
      <c r="D137" s="72">
        <v>1.6</v>
      </c>
      <c r="E137" s="70" t="s">
        <v>562</v>
      </c>
      <c r="F137" s="71" t="s">
        <v>563</v>
      </c>
      <c r="G137" s="71" t="s">
        <v>564</v>
      </c>
      <c r="H137" s="61"/>
      <c r="I137" s="61"/>
      <c r="J137" s="61"/>
      <c r="K137" s="61"/>
      <c r="L137" s="61"/>
    </row>
    <row r="138" customFormat="false" ht="15.75" hidden="true" customHeight="true" outlineLevel="0" collapsed="false">
      <c r="A138" s="70" t="s">
        <v>126</v>
      </c>
      <c r="B138" s="71" t="s">
        <v>126</v>
      </c>
      <c r="C138" s="72">
        <v>83</v>
      </c>
      <c r="D138" s="72">
        <v>1.6</v>
      </c>
      <c r="E138" s="70" t="s">
        <v>565</v>
      </c>
      <c r="F138" s="71" t="s">
        <v>566</v>
      </c>
      <c r="G138" s="71" t="s">
        <v>567</v>
      </c>
      <c r="H138" s="61"/>
      <c r="I138" s="61"/>
      <c r="J138" s="61"/>
      <c r="K138" s="61"/>
      <c r="L138" s="61"/>
    </row>
    <row r="139" customFormat="false" ht="15.75" hidden="true" customHeight="true" outlineLevel="0" collapsed="false">
      <c r="A139" s="70" t="s">
        <v>11</v>
      </c>
      <c r="B139" s="71" t="s">
        <v>568</v>
      </c>
      <c r="C139" s="72">
        <v>83</v>
      </c>
      <c r="D139" s="72">
        <v>1.6</v>
      </c>
      <c r="E139" s="70" t="s">
        <v>569</v>
      </c>
      <c r="F139" s="71" t="s">
        <v>570</v>
      </c>
      <c r="G139" s="71" t="s">
        <v>571</v>
      </c>
      <c r="H139" s="61"/>
      <c r="I139" s="61"/>
      <c r="J139" s="61"/>
      <c r="K139" s="61"/>
      <c r="L139" s="61"/>
    </row>
    <row r="140" customFormat="false" ht="15.75" hidden="true" customHeight="true" outlineLevel="0" collapsed="false">
      <c r="A140" s="70" t="s">
        <v>22</v>
      </c>
      <c r="B140" s="71" t="s">
        <v>572</v>
      </c>
      <c r="C140" s="72">
        <v>83</v>
      </c>
      <c r="D140" s="72">
        <v>1.6</v>
      </c>
      <c r="E140" s="70" t="s">
        <v>573</v>
      </c>
      <c r="F140" s="71" t="s">
        <v>574</v>
      </c>
      <c r="G140" s="71" t="s">
        <v>575</v>
      </c>
      <c r="H140" s="61"/>
      <c r="I140" s="61"/>
      <c r="J140" s="61"/>
      <c r="K140" s="61"/>
      <c r="L140" s="61"/>
    </row>
    <row r="141" customFormat="false" ht="15.75" hidden="true" customHeight="true" outlineLevel="0" collapsed="false">
      <c r="A141" s="70" t="s">
        <v>22</v>
      </c>
      <c r="B141" s="71" t="s">
        <v>572</v>
      </c>
      <c r="C141" s="72">
        <v>83</v>
      </c>
      <c r="D141" s="72">
        <v>1.6</v>
      </c>
      <c r="E141" s="70" t="s">
        <v>576</v>
      </c>
      <c r="F141" s="71" t="s">
        <v>577</v>
      </c>
      <c r="G141" s="71" t="s">
        <v>575</v>
      </c>
      <c r="H141" s="61"/>
      <c r="I141" s="61"/>
      <c r="J141" s="61"/>
      <c r="K141" s="61"/>
      <c r="L141" s="61"/>
    </row>
    <row r="142" customFormat="false" ht="15.75" hidden="true" customHeight="true" outlineLevel="0" collapsed="false">
      <c r="A142" s="73" t="s">
        <v>67</v>
      </c>
      <c r="B142" s="74" t="s">
        <v>165</v>
      </c>
      <c r="C142" s="75" t="s">
        <v>578</v>
      </c>
      <c r="D142" s="75">
        <v>8.85</v>
      </c>
      <c r="E142" s="73" t="s">
        <v>166</v>
      </c>
      <c r="F142" s="74" t="s">
        <v>167</v>
      </c>
      <c r="G142" s="74" t="s">
        <v>70</v>
      </c>
      <c r="H142" s="76" t="s">
        <v>579</v>
      </c>
      <c r="I142" s="76"/>
      <c r="J142" s="76"/>
      <c r="K142" s="76"/>
      <c r="L142" s="76"/>
    </row>
    <row r="143" customFormat="false" ht="15.75" hidden="true" customHeight="true" outlineLevel="0" collapsed="false">
      <c r="A143" s="73" t="s">
        <v>67</v>
      </c>
      <c r="B143" s="74" t="s">
        <v>165</v>
      </c>
      <c r="C143" s="75" t="s">
        <v>578</v>
      </c>
      <c r="D143" s="75">
        <v>8.85</v>
      </c>
      <c r="E143" s="73" t="s">
        <v>175</v>
      </c>
      <c r="F143" s="74" t="s">
        <v>176</v>
      </c>
      <c r="G143" s="74" t="s">
        <v>177</v>
      </c>
      <c r="H143" s="76"/>
      <c r="I143" s="76"/>
      <c r="J143" s="76"/>
      <c r="K143" s="76"/>
      <c r="L143" s="76"/>
    </row>
    <row r="144" customFormat="false" ht="15.75" hidden="true" customHeight="true" outlineLevel="0" collapsed="false">
      <c r="A144" s="77" t="s">
        <v>11</v>
      </c>
      <c r="B144" s="78" t="s">
        <v>105</v>
      </c>
      <c r="C144" s="79" t="s">
        <v>32</v>
      </c>
      <c r="D144" s="79">
        <v>3</v>
      </c>
      <c r="E144" s="77" t="s">
        <v>106</v>
      </c>
      <c r="F144" s="78" t="s">
        <v>107</v>
      </c>
      <c r="G144" s="78" t="s">
        <v>108</v>
      </c>
      <c r="H144" s="65" t="s">
        <v>477</v>
      </c>
      <c r="I144" s="80"/>
      <c r="J144" s="80" t="s">
        <v>580</v>
      </c>
      <c r="K144" s="80"/>
      <c r="L144" s="81"/>
    </row>
    <row r="145" customFormat="false" ht="15.75" hidden="true" customHeight="true" outlineLevel="0" collapsed="false">
      <c r="A145" s="77" t="s">
        <v>11</v>
      </c>
      <c r="B145" s="78" t="s">
        <v>105</v>
      </c>
      <c r="C145" s="79" t="s">
        <v>32</v>
      </c>
      <c r="D145" s="79">
        <v>3</v>
      </c>
      <c r="E145" s="77" t="s">
        <v>133</v>
      </c>
      <c r="F145" s="78" t="s">
        <v>134</v>
      </c>
      <c r="G145" s="78" t="s">
        <v>135</v>
      </c>
      <c r="H145" s="82"/>
      <c r="I145" s="60"/>
      <c r="J145" s="60"/>
      <c r="K145" s="60"/>
      <c r="L145" s="83"/>
    </row>
    <row r="146" customFormat="false" ht="15.75" hidden="true" customHeight="true" outlineLevel="0" collapsed="false">
      <c r="A146" s="77" t="s">
        <v>11</v>
      </c>
      <c r="B146" s="78" t="s">
        <v>105</v>
      </c>
      <c r="C146" s="79" t="s">
        <v>32</v>
      </c>
      <c r="D146" s="79">
        <v>3</v>
      </c>
      <c r="E146" s="77" t="s">
        <v>183</v>
      </c>
      <c r="F146" s="78" t="s">
        <v>184</v>
      </c>
      <c r="G146" s="78" t="s">
        <v>185</v>
      </c>
      <c r="H146" s="82"/>
      <c r="I146" s="60"/>
      <c r="J146" s="60"/>
      <c r="K146" s="60"/>
      <c r="L146" s="83"/>
    </row>
    <row r="147" customFormat="false" ht="15.75" hidden="true" customHeight="true" outlineLevel="0" collapsed="false">
      <c r="A147" s="77" t="s">
        <v>11</v>
      </c>
      <c r="B147" s="78" t="s">
        <v>105</v>
      </c>
      <c r="C147" s="79" t="s">
        <v>32</v>
      </c>
      <c r="D147" s="79">
        <v>3</v>
      </c>
      <c r="E147" s="77" t="s">
        <v>230</v>
      </c>
      <c r="F147" s="78" t="s">
        <v>231</v>
      </c>
      <c r="G147" s="78" t="s">
        <v>232</v>
      </c>
      <c r="H147" s="82"/>
      <c r="I147" s="60"/>
      <c r="J147" s="60"/>
      <c r="K147" s="60"/>
      <c r="L147" s="83"/>
    </row>
    <row r="148" customFormat="false" ht="15.75" hidden="true" customHeight="true" outlineLevel="0" collapsed="false">
      <c r="A148" s="77" t="s">
        <v>11</v>
      </c>
      <c r="B148" s="78" t="s">
        <v>105</v>
      </c>
      <c r="C148" s="79" t="s">
        <v>32</v>
      </c>
      <c r="D148" s="79">
        <v>3</v>
      </c>
      <c r="E148" s="77" t="s">
        <v>247</v>
      </c>
      <c r="F148" s="78" t="s">
        <v>248</v>
      </c>
      <c r="G148" s="78" t="s">
        <v>249</v>
      </c>
      <c r="H148" s="84"/>
      <c r="I148" s="85"/>
      <c r="J148" s="85"/>
      <c r="K148" s="85"/>
      <c r="L148" s="86"/>
    </row>
    <row r="149" customFormat="false" ht="15.75" hidden="true" customHeight="true" outlineLevel="0" collapsed="false">
      <c r="A149" s="77" t="s">
        <v>11</v>
      </c>
      <c r="B149" s="78" t="s">
        <v>31</v>
      </c>
      <c r="C149" s="79" t="s">
        <v>32</v>
      </c>
      <c r="D149" s="79">
        <v>3</v>
      </c>
      <c r="E149" s="77" t="s">
        <v>33</v>
      </c>
      <c r="F149" s="78" t="s">
        <v>34</v>
      </c>
      <c r="G149" s="78" t="s">
        <v>35</v>
      </c>
      <c r="H149" s="65" t="s">
        <v>31</v>
      </c>
      <c r="I149" s="80"/>
      <c r="J149" s="80" t="s">
        <v>581</v>
      </c>
      <c r="K149" s="80"/>
      <c r="L149" s="81"/>
    </row>
    <row r="150" customFormat="false" ht="15.75" hidden="true" customHeight="true" outlineLevel="0" collapsed="false">
      <c r="A150" s="77" t="s">
        <v>11</v>
      </c>
      <c r="B150" s="78" t="s">
        <v>31</v>
      </c>
      <c r="C150" s="79" t="s">
        <v>32</v>
      </c>
      <c r="D150" s="79">
        <v>3</v>
      </c>
      <c r="E150" s="77" t="s">
        <v>36</v>
      </c>
      <c r="F150" s="78" t="s">
        <v>37</v>
      </c>
      <c r="G150" s="78" t="s">
        <v>38</v>
      </c>
      <c r="H150" s="82"/>
      <c r="I150" s="60"/>
      <c r="J150" s="60"/>
      <c r="K150" s="60"/>
      <c r="L150" s="83"/>
    </row>
    <row r="151" customFormat="false" ht="15.75" hidden="true" customHeight="true" outlineLevel="0" collapsed="false">
      <c r="A151" s="77" t="s">
        <v>11</v>
      </c>
      <c r="B151" s="78" t="s">
        <v>31</v>
      </c>
      <c r="C151" s="79" t="s">
        <v>32</v>
      </c>
      <c r="D151" s="79">
        <v>3</v>
      </c>
      <c r="E151" s="77" t="s">
        <v>148</v>
      </c>
      <c r="F151" s="78" t="s">
        <v>149</v>
      </c>
      <c r="G151" s="78" t="s">
        <v>150</v>
      </c>
      <c r="H151" s="82"/>
      <c r="I151" s="60"/>
      <c r="J151" s="60"/>
      <c r="K151" s="60"/>
      <c r="L151" s="83"/>
    </row>
    <row r="152" customFormat="false" ht="15.75" hidden="true" customHeight="true" outlineLevel="0" collapsed="false">
      <c r="A152" s="77" t="s">
        <v>11</v>
      </c>
      <c r="B152" s="78" t="s">
        <v>31</v>
      </c>
      <c r="C152" s="79" t="s">
        <v>32</v>
      </c>
      <c r="D152" s="79">
        <v>3</v>
      </c>
      <c r="E152" s="77" t="s">
        <v>236</v>
      </c>
      <c r="F152" s="78" t="s">
        <v>237</v>
      </c>
      <c r="G152" s="78" t="s">
        <v>238</v>
      </c>
      <c r="H152" s="84"/>
      <c r="I152" s="85"/>
      <c r="J152" s="85"/>
      <c r="K152" s="85"/>
      <c r="L152" s="86"/>
    </row>
    <row r="153" customFormat="false" ht="15.75" hidden="true" customHeight="true" outlineLevel="0" collapsed="false">
      <c r="A153" s="77" t="s">
        <v>39</v>
      </c>
      <c r="B153" s="78" t="s">
        <v>91</v>
      </c>
      <c r="C153" s="79" t="s">
        <v>32</v>
      </c>
      <c r="D153" s="79">
        <v>3</v>
      </c>
      <c r="E153" s="77" t="s">
        <v>92</v>
      </c>
      <c r="F153" s="78" t="s">
        <v>93</v>
      </c>
      <c r="G153" s="78" t="s">
        <v>94</v>
      </c>
      <c r="H153" s="60" t="s">
        <v>477</v>
      </c>
      <c r="I153" s="60"/>
      <c r="J153" s="60"/>
      <c r="K153" s="60"/>
      <c r="L153" s="60"/>
    </row>
    <row r="154" customFormat="false" ht="15.75" hidden="true" customHeight="true" outlineLevel="0" collapsed="false">
      <c r="A154" s="77" t="s">
        <v>50</v>
      </c>
      <c r="B154" s="78" t="s">
        <v>51</v>
      </c>
      <c r="C154" s="79" t="s">
        <v>32</v>
      </c>
      <c r="D154" s="79">
        <v>3</v>
      </c>
      <c r="E154" s="77" t="s">
        <v>313</v>
      </c>
      <c r="F154" s="78" t="s">
        <v>314</v>
      </c>
      <c r="G154" s="78" t="s">
        <v>54</v>
      </c>
      <c r="H154" s="60"/>
      <c r="I154" s="60"/>
      <c r="J154" s="60"/>
      <c r="K154" s="60"/>
      <c r="L154" s="60"/>
    </row>
    <row r="155" customFormat="false" ht="15.75" hidden="true" customHeight="true" outlineLevel="0" collapsed="false">
      <c r="A155" s="77" t="s">
        <v>50</v>
      </c>
      <c r="B155" s="78" t="s">
        <v>51</v>
      </c>
      <c r="C155" s="79" t="s">
        <v>32</v>
      </c>
      <c r="D155" s="79">
        <v>3</v>
      </c>
      <c r="E155" s="77" t="s">
        <v>136</v>
      </c>
      <c r="F155" s="78" t="s">
        <v>137</v>
      </c>
      <c r="G155" s="78" t="s">
        <v>138</v>
      </c>
      <c r="H155" s="60"/>
      <c r="I155" s="60"/>
      <c r="J155" s="60"/>
      <c r="K155" s="60"/>
      <c r="L155" s="60"/>
    </row>
    <row r="156" customFormat="false" ht="15.75" hidden="true" customHeight="true" outlineLevel="0" collapsed="false">
      <c r="A156" s="77" t="s">
        <v>39</v>
      </c>
      <c r="B156" s="78" t="s">
        <v>171</v>
      </c>
      <c r="C156" s="79" t="s">
        <v>32</v>
      </c>
      <c r="D156" s="79">
        <v>3</v>
      </c>
      <c r="E156" s="77" t="s">
        <v>172</v>
      </c>
      <c r="F156" s="78" t="s">
        <v>173</v>
      </c>
      <c r="G156" s="78" t="s">
        <v>174</v>
      </c>
      <c r="H156" s="60"/>
      <c r="I156" s="60"/>
      <c r="J156" s="60"/>
      <c r="K156" s="60"/>
      <c r="L156" s="60"/>
    </row>
    <row r="157" customFormat="false" ht="15.75" hidden="true" customHeight="true" outlineLevel="0" collapsed="false">
      <c r="A157" s="77" t="s">
        <v>126</v>
      </c>
      <c r="B157" s="78" t="s">
        <v>126</v>
      </c>
      <c r="C157" s="79" t="s">
        <v>32</v>
      </c>
      <c r="D157" s="79">
        <v>3</v>
      </c>
      <c r="E157" s="77" t="s">
        <v>127</v>
      </c>
      <c r="F157" s="78" t="s">
        <v>128</v>
      </c>
      <c r="G157" s="78" t="s">
        <v>129</v>
      </c>
      <c r="H157" s="60"/>
      <c r="I157" s="60"/>
      <c r="J157" s="60"/>
      <c r="K157" s="60"/>
      <c r="L157" s="60"/>
    </row>
    <row r="158" customFormat="false" ht="15.75" hidden="true" customHeight="true" outlineLevel="0" collapsed="false">
      <c r="A158" s="77" t="s">
        <v>11</v>
      </c>
      <c r="B158" s="78" t="s">
        <v>201</v>
      </c>
      <c r="C158" s="79" t="s">
        <v>32</v>
      </c>
      <c r="D158" s="79">
        <v>3</v>
      </c>
      <c r="E158" s="77" t="s">
        <v>202</v>
      </c>
      <c r="F158" s="78" t="s">
        <v>203</v>
      </c>
      <c r="G158" s="78" t="s">
        <v>204</v>
      </c>
      <c r="H158" s="60"/>
      <c r="I158" s="60"/>
      <c r="J158" s="60"/>
      <c r="K158" s="60"/>
      <c r="L158" s="60"/>
    </row>
    <row r="159" customFormat="false" ht="15.75" hidden="true" customHeight="true" outlineLevel="0" collapsed="false">
      <c r="A159" s="77" t="s">
        <v>22</v>
      </c>
      <c r="B159" s="78" t="s">
        <v>582</v>
      </c>
      <c r="C159" s="79" t="s">
        <v>32</v>
      </c>
      <c r="D159" s="79">
        <v>3</v>
      </c>
      <c r="E159" s="77" t="s">
        <v>583</v>
      </c>
      <c r="F159" s="78" t="s">
        <v>128</v>
      </c>
      <c r="G159" s="78" t="s">
        <v>511</v>
      </c>
      <c r="H159" s="64"/>
      <c r="I159" s="64"/>
      <c r="J159" s="64"/>
      <c r="K159" s="64"/>
      <c r="L159" s="64"/>
    </row>
    <row r="160" customFormat="false" ht="15.75" hidden="true" customHeight="true" outlineLevel="0" collapsed="false">
      <c r="A160" s="77" t="s">
        <v>22</v>
      </c>
      <c r="B160" s="78" t="s">
        <v>584</v>
      </c>
      <c r="C160" s="79" t="s">
        <v>32</v>
      </c>
      <c r="D160" s="79">
        <v>3</v>
      </c>
      <c r="E160" s="77" t="s">
        <v>585</v>
      </c>
      <c r="F160" s="78" t="s">
        <v>586</v>
      </c>
      <c r="G160" s="78" t="s">
        <v>511</v>
      </c>
      <c r="H160" s="61" t="s">
        <v>379</v>
      </c>
      <c r="I160" s="61"/>
      <c r="J160" s="61"/>
      <c r="K160" s="61"/>
      <c r="L160" s="61"/>
    </row>
    <row r="161" customFormat="false" ht="15.75" hidden="true" customHeight="true" outlineLevel="0" collapsed="false">
      <c r="A161" s="77" t="s">
        <v>22</v>
      </c>
      <c r="B161" s="78" t="s">
        <v>584</v>
      </c>
      <c r="C161" s="79" t="s">
        <v>32</v>
      </c>
      <c r="D161" s="79">
        <v>3</v>
      </c>
      <c r="E161" s="77" t="s">
        <v>587</v>
      </c>
      <c r="F161" s="78" t="s">
        <v>34</v>
      </c>
      <c r="G161" s="78" t="s">
        <v>511</v>
      </c>
      <c r="H161" s="61" t="s">
        <v>352</v>
      </c>
      <c r="I161" s="61"/>
      <c r="J161" s="61"/>
      <c r="K161" s="61"/>
      <c r="L161" s="61"/>
    </row>
    <row r="162" customFormat="false" ht="15.75" hidden="true" customHeight="true" outlineLevel="0" collapsed="false">
      <c r="A162" s="77" t="s">
        <v>22</v>
      </c>
      <c r="B162" s="78" t="s">
        <v>584</v>
      </c>
      <c r="C162" s="79" t="s">
        <v>32</v>
      </c>
      <c r="D162" s="79">
        <v>3</v>
      </c>
      <c r="E162" s="77" t="s">
        <v>588</v>
      </c>
      <c r="F162" s="78" t="s">
        <v>88</v>
      </c>
      <c r="G162" s="78" t="s">
        <v>589</v>
      </c>
      <c r="H162" s="61"/>
      <c r="I162" s="61"/>
      <c r="J162" s="61"/>
      <c r="K162" s="61"/>
      <c r="L162" s="61"/>
    </row>
    <row r="163" customFormat="false" ht="15.75" hidden="true" customHeight="true" outlineLevel="0" collapsed="false">
      <c r="A163" s="87" t="s">
        <v>11</v>
      </c>
      <c r="B163" s="88" t="s">
        <v>17</v>
      </c>
      <c r="C163" s="89" t="s">
        <v>18</v>
      </c>
      <c r="D163" s="89">
        <v>3.74</v>
      </c>
      <c r="E163" s="87" t="s">
        <v>19</v>
      </c>
      <c r="F163" s="88" t="s">
        <v>20</v>
      </c>
      <c r="G163" s="88" t="s">
        <v>21</v>
      </c>
      <c r="H163" s="60" t="s">
        <v>17</v>
      </c>
      <c r="I163" s="60"/>
      <c r="J163" s="60" t="s">
        <v>590</v>
      </c>
      <c r="K163" s="60"/>
      <c r="L163" s="60"/>
    </row>
    <row r="164" customFormat="false" ht="15.75" hidden="true" customHeight="true" outlineLevel="0" collapsed="false">
      <c r="A164" s="87" t="s">
        <v>11</v>
      </c>
      <c r="B164" s="88" t="s">
        <v>17</v>
      </c>
      <c r="C164" s="89" t="s">
        <v>18</v>
      </c>
      <c r="D164" s="89">
        <v>3.74</v>
      </c>
      <c r="E164" s="87" t="s">
        <v>84</v>
      </c>
      <c r="F164" s="88" t="s">
        <v>85</v>
      </c>
      <c r="G164" s="88" t="s">
        <v>86</v>
      </c>
      <c r="H164" s="60"/>
      <c r="I164" s="60"/>
      <c r="J164" s="60"/>
      <c r="K164" s="60"/>
      <c r="L164" s="60"/>
    </row>
    <row r="165" customFormat="false" ht="15.75" hidden="true" customHeight="true" outlineLevel="0" collapsed="false">
      <c r="A165" s="87" t="s">
        <v>11</v>
      </c>
      <c r="B165" s="88" t="s">
        <v>17</v>
      </c>
      <c r="C165" s="89" t="s">
        <v>18</v>
      </c>
      <c r="D165" s="89">
        <v>3.74</v>
      </c>
      <c r="E165" s="87" t="s">
        <v>591</v>
      </c>
      <c r="F165" s="88" t="s">
        <v>167</v>
      </c>
      <c r="G165" s="88" t="s">
        <v>592</v>
      </c>
      <c r="H165" s="60"/>
      <c r="I165" s="60"/>
      <c r="J165" s="60"/>
      <c r="K165" s="60"/>
      <c r="L165" s="60"/>
    </row>
    <row r="166" customFormat="false" ht="15.75" hidden="true" customHeight="true" outlineLevel="0" collapsed="false">
      <c r="A166" s="87" t="s">
        <v>11</v>
      </c>
      <c r="B166" s="88" t="s">
        <v>17</v>
      </c>
      <c r="C166" s="89" t="s">
        <v>18</v>
      </c>
      <c r="D166" s="89">
        <v>3.74</v>
      </c>
      <c r="E166" s="87" t="s">
        <v>120</v>
      </c>
      <c r="F166" s="88" t="s">
        <v>121</v>
      </c>
      <c r="G166" s="88" t="s">
        <v>122</v>
      </c>
      <c r="H166" s="60"/>
      <c r="I166" s="60"/>
      <c r="J166" s="60"/>
      <c r="K166" s="60"/>
      <c r="L166" s="60"/>
    </row>
    <row r="167" customFormat="false" ht="15.75" hidden="true" customHeight="true" outlineLevel="0" collapsed="false">
      <c r="A167" s="87" t="s">
        <v>11</v>
      </c>
      <c r="B167" s="88" t="s">
        <v>17</v>
      </c>
      <c r="C167" s="89" t="s">
        <v>18</v>
      </c>
      <c r="D167" s="89">
        <v>3.74</v>
      </c>
      <c r="E167" s="87" t="s">
        <v>123</v>
      </c>
      <c r="F167" s="88" t="s">
        <v>124</v>
      </c>
      <c r="G167" s="88" t="s">
        <v>125</v>
      </c>
      <c r="H167" s="60"/>
      <c r="I167" s="60"/>
      <c r="J167" s="60"/>
      <c r="K167" s="60"/>
      <c r="L167" s="60"/>
    </row>
    <row r="168" customFormat="false" ht="15.75" hidden="true" customHeight="true" outlineLevel="0" collapsed="false">
      <c r="A168" s="87" t="s">
        <v>11</v>
      </c>
      <c r="B168" s="88" t="s">
        <v>17</v>
      </c>
      <c r="C168" s="89" t="s">
        <v>18</v>
      </c>
      <c r="D168" s="89">
        <v>3.74</v>
      </c>
      <c r="E168" s="87" t="s">
        <v>189</v>
      </c>
      <c r="F168" s="88" t="s">
        <v>190</v>
      </c>
      <c r="G168" s="88" t="s">
        <v>191</v>
      </c>
      <c r="H168" s="60"/>
      <c r="I168" s="60"/>
      <c r="J168" s="60"/>
      <c r="K168" s="60"/>
      <c r="L168" s="60"/>
    </row>
    <row r="169" customFormat="false" ht="15.75" hidden="true" customHeight="true" outlineLevel="0" collapsed="false">
      <c r="A169" s="87" t="s">
        <v>11</v>
      </c>
      <c r="B169" s="88" t="s">
        <v>17</v>
      </c>
      <c r="C169" s="89" t="s">
        <v>18</v>
      </c>
      <c r="D169" s="89">
        <v>3.74</v>
      </c>
      <c r="E169" s="87" t="s">
        <v>206</v>
      </c>
      <c r="F169" s="88" t="s">
        <v>207</v>
      </c>
      <c r="G169" s="88" t="s">
        <v>593</v>
      </c>
      <c r="H169" s="60"/>
      <c r="I169" s="60"/>
      <c r="J169" s="60"/>
      <c r="K169" s="60"/>
      <c r="L169" s="60"/>
    </row>
    <row r="170" customFormat="false" ht="15.75" hidden="true" customHeight="true" outlineLevel="0" collapsed="false">
      <c r="A170" s="87" t="s">
        <v>11</v>
      </c>
      <c r="B170" s="88" t="s">
        <v>17</v>
      </c>
      <c r="C170" s="89" t="s">
        <v>18</v>
      </c>
      <c r="D170" s="89">
        <v>3.74</v>
      </c>
      <c r="E170" s="87" t="s">
        <v>220</v>
      </c>
      <c r="F170" s="88" t="s">
        <v>173</v>
      </c>
      <c r="G170" s="88" t="s">
        <v>221</v>
      </c>
      <c r="H170" s="60"/>
      <c r="I170" s="60"/>
      <c r="J170" s="60"/>
      <c r="K170" s="60"/>
      <c r="L170" s="60"/>
    </row>
    <row r="171" customFormat="false" ht="15.75" hidden="true" customHeight="true" outlineLevel="0" collapsed="false">
      <c r="A171" s="87" t="s">
        <v>50</v>
      </c>
      <c r="B171" s="88" t="s">
        <v>130</v>
      </c>
      <c r="C171" s="89" t="s">
        <v>18</v>
      </c>
      <c r="D171" s="89">
        <v>3.74</v>
      </c>
      <c r="E171" s="87" t="s">
        <v>131</v>
      </c>
      <c r="F171" s="88" t="s">
        <v>132</v>
      </c>
      <c r="G171" s="88" t="s">
        <v>70</v>
      </c>
      <c r="H171" s="60"/>
      <c r="I171" s="60"/>
      <c r="J171" s="60"/>
      <c r="K171" s="60"/>
      <c r="L171" s="60"/>
    </row>
    <row r="172" customFormat="false" ht="15.75" hidden="true" customHeight="true" outlineLevel="0" collapsed="false">
      <c r="A172" s="87" t="s">
        <v>594</v>
      </c>
      <c r="B172" s="88" t="s">
        <v>594</v>
      </c>
      <c r="C172" s="89" t="s">
        <v>18</v>
      </c>
      <c r="D172" s="89">
        <v>3.74</v>
      </c>
      <c r="E172" s="87" t="s">
        <v>595</v>
      </c>
      <c r="F172" s="88" t="s">
        <v>563</v>
      </c>
      <c r="G172" s="88" t="s">
        <v>596</v>
      </c>
      <c r="H172" s="61" t="s">
        <v>512</v>
      </c>
      <c r="I172" s="61"/>
      <c r="J172" s="61"/>
      <c r="K172" s="61"/>
      <c r="L172" s="61"/>
    </row>
    <row r="173" customFormat="false" ht="15.75" hidden="true" customHeight="true" outlineLevel="0" collapsed="false">
      <c r="A173" s="87" t="s">
        <v>594</v>
      </c>
      <c r="B173" s="88" t="s">
        <v>594</v>
      </c>
      <c r="C173" s="89" t="s">
        <v>18</v>
      </c>
      <c r="D173" s="89">
        <v>3.74</v>
      </c>
      <c r="E173" s="87" t="s">
        <v>597</v>
      </c>
      <c r="F173" s="88" t="s">
        <v>505</v>
      </c>
      <c r="G173" s="88" t="s">
        <v>598</v>
      </c>
      <c r="H173" s="61"/>
      <c r="I173" s="61"/>
      <c r="J173" s="61"/>
      <c r="K173" s="61"/>
      <c r="L173" s="61"/>
    </row>
    <row r="174" customFormat="false" ht="15.75" hidden="true" customHeight="true" outlineLevel="0" collapsed="false">
      <c r="A174" s="87" t="s">
        <v>594</v>
      </c>
      <c r="B174" s="88" t="s">
        <v>594</v>
      </c>
      <c r="C174" s="89" t="s">
        <v>18</v>
      </c>
      <c r="D174" s="89">
        <v>3.74</v>
      </c>
      <c r="E174" s="87" t="s">
        <v>599</v>
      </c>
      <c r="F174" s="88" t="s">
        <v>600</v>
      </c>
      <c r="G174" s="88" t="s">
        <v>601</v>
      </c>
      <c r="H174" s="61"/>
      <c r="I174" s="61"/>
      <c r="J174" s="61"/>
      <c r="K174" s="61"/>
      <c r="L174" s="61"/>
    </row>
    <row r="175" customFormat="false" ht="15.75" hidden="true" customHeight="true" outlineLevel="0" collapsed="false">
      <c r="A175" s="87" t="s">
        <v>594</v>
      </c>
      <c r="B175" s="88" t="s">
        <v>594</v>
      </c>
      <c r="C175" s="89" t="s">
        <v>18</v>
      </c>
      <c r="D175" s="89">
        <v>3.74</v>
      </c>
      <c r="E175" s="87" t="s">
        <v>602</v>
      </c>
      <c r="F175" s="88" t="s">
        <v>603</v>
      </c>
      <c r="G175" s="88" t="s">
        <v>604</v>
      </c>
      <c r="H175" s="61"/>
      <c r="I175" s="61"/>
      <c r="J175" s="61"/>
      <c r="K175" s="61"/>
      <c r="L175" s="61"/>
    </row>
    <row r="176" customFormat="false" ht="15.75" hidden="true" customHeight="true" outlineLevel="0" collapsed="false">
      <c r="A176" s="87" t="s">
        <v>594</v>
      </c>
      <c r="B176" s="88" t="s">
        <v>594</v>
      </c>
      <c r="C176" s="89" t="s">
        <v>18</v>
      </c>
      <c r="D176" s="89">
        <v>3.74</v>
      </c>
      <c r="E176" s="87"/>
      <c r="F176" s="88"/>
      <c r="G176" s="88" t="s">
        <v>605</v>
      </c>
      <c r="H176" s="61"/>
      <c r="I176" s="61"/>
      <c r="J176" s="61"/>
      <c r="K176" s="61"/>
      <c r="L176" s="61"/>
    </row>
    <row r="177" customFormat="false" ht="15.75" hidden="true" customHeight="true" outlineLevel="0" collapsed="false">
      <c r="A177" s="87" t="s">
        <v>126</v>
      </c>
      <c r="B177" s="88" t="s">
        <v>181</v>
      </c>
      <c r="C177" s="89" t="s">
        <v>18</v>
      </c>
      <c r="D177" s="89">
        <v>3.74</v>
      </c>
      <c r="E177" s="87" t="s">
        <v>182</v>
      </c>
      <c r="F177" s="88" t="s">
        <v>110</v>
      </c>
      <c r="G177" s="88" t="s">
        <v>144</v>
      </c>
      <c r="H177" s="60" t="s">
        <v>17</v>
      </c>
      <c r="I177" s="60"/>
      <c r="J177" s="60"/>
      <c r="K177" s="60"/>
      <c r="L177" s="60"/>
    </row>
    <row r="178" customFormat="false" ht="15.75" hidden="true" customHeight="true" outlineLevel="0" collapsed="false">
      <c r="A178" s="87" t="s">
        <v>22</v>
      </c>
      <c r="B178" s="88" t="s">
        <v>23</v>
      </c>
      <c r="C178" s="89" t="s">
        <v>18</v>
      </c>
      <c r="D178" s="89">
        <v>3.74</v>
      </c>
      <c r="E178" s="87" t="s">
        <v>24</v>
      </c>
      <c r="F178" s="88" t="s">
        <v>25</v>
      </c>
      <c r="G178" s="88" t="s">
        <v>26</v>
      </c>
      <c r="H178" s="60"/>
      <c r="I178" s="60"/>
      <c r="J178" s="60"/>
      <c r="K178" s="60"/>
      <c r="L178" s="60"/>
    </row>
    <row r="179" customFormat="false" ht="15.75" hidden="true" customHeight="true" outlineLevel="0" collapsed="false">
      <c r="A179" s="90" t="s">
        <v>478</v>
      </c>
      <c r="B179" s="91" t="s">
        <v>606</v>
      </c>
      <c r="C179" s="91" t="s">
        <v>607</v>
      </c>
      <c r="D179" s="91"/>
      <c r="E179" s="90" t="s">
        <v>608</v>
      </c>
      <c r="F179" s="91" t="s">
        <v>480</v>
      </c>
      <c r="G179" s="91" t="s">
        <v>609</v>
      </c>
      <c r="H179" s="52"/>
      <c r="I179" s="52"/>
      <c r="J179" s="52"/>
      <c r="K179" s="52"/>
      <c r="L179" s="52"/>
    </row>
    <row r="180" customFormat="false" ht="15.75" hidden="true" customHeight="true" outlineLevel="0" collapsed="false">
      <c r="A180" s="90" t="s">
        <v>478</v>
      </c>
      <c r="B180" s="91" t="s">
        <v>606</v>
      </c>
      <c r="C180" s="91" t="s">
        <v>607</v>
      </c>
      <c r="D180" s="91"/>
      <c r="E180" s="90" t="s">
        <v>610</v>
      </c>
      <c r="F180" s="91" t="s">
        <v>164</v>
      </c>
      <c r="G180" s="91" t="s">
        <v>611</v>
      </c>
      <c r="H180" s="52"/>
      <c r="I180" s="52"/>
      <c r="J180" s="52"/>
      <c r="K180" s="52"/>
      <c r="L180" s="52"/>
    </row>
    <row r="181" customFormat="false" ht="15.75" hidden="true" customHeight="true" outlineLevel="0" collapsed="false">
      <c r="A181" s="90" t="s">
        <v>478</v>
      </c>
      <c r="B181" s="91" t="s">
        <v>606</v>
      </c>
      <c r="C181" s="91" t="s">
        <v>607</v>
      </c>
      <c r="D181" s="91"/>
      <c r="E181" s="90" t="s">
        <v>612</v>
      </c>
      <c r="F181" s="91" t="s">
        <v>29</v>
      </c>
      <c r="G181" s="91" t="s">
        <v>613</v>
      </c>
      <c r="H181" s="52"/>
      <c r="I181" s="52"/>
      <c r="J181" s="52"/>
      <c r="K181" s="52"/>
      <c r="L181" s="52"/>
    </row>
    <row r="182" customFormat="false" ht="15.75" hidden="true" customHeight="true" outlineLevel="0" collapsed="false">
      <c r="A182" s="90" t="s">
        <v>478</v>
      </c>
      <c r="B182" s="91" t="s">
        <v>606</v>
      </c>
      <c r="C182" s="91" t="s">
        <v>607</v>
      </c>
      <c r="D182" s="91"/>
      <c r="E182" s="90" t="s">
        <v>614</v>
      </c>
      <c r="F182" s="91" t="s">
        <v>480</v>
      </c>
      <c r="G182" s="91" t="s">
        <v>609</v>
      </c>
      <c r="H182" s="52"/>
      <c r="I182" s="52"/>
      <c r="J182" s="52"/>
      <c r="K182" s="52"/>
      <c r="L182" s="52"/>
    </row>
    <row r="183" customFormat="false" ht="15.75" hidden="true" customHeight="true" outlineLevel="0" collapsed="false">
      <c r="A183" s="90" t="s">
        <v>478</v>
      </c>
      <c r="B183" s="91" t="s">
        <v>606</v>
      </c>
      <c r="C183" s="91" t="s">
        <v>607</v>
      </c>
      <c r="D183" s="91"/>
      <c r="E183" s="90" t="s">
        <v>615</v>
      </c>
      <c r="F183" s="91" t="s">
        <v>616</v>
      </c>
      <c r="G183" s="91" t="s">
        <v>617</v>
      </c>
      <c r="H183" s="52"/>
      <c r="I183" s="52"/>
      <c r="J183" s="52"/>
      <c r="K183" s="52"/>
      <c r="L183" s="52"/>
    </row>
    <row r="184" customFormat="false" ht="15.75" hidden="true" customHeight="true" outlineLevel="0" collapsed="false">
      <c r="A184" s="90" t="s">
        <v>478</v>
      </c>
      <c r="B184" s="91" t="s">
        <v>606</v>
      </c>
      <c r="C184" s="91" t="s">
        <v>607</v>
      </c>
      <c r="D184" s="91"/>
      <c r="E184" s="90" t="s">
        <v>618</v>
      </c>
      <c r="F184" s="91" t="s">
        <v>237</v>
      </c>
      <c r="G184" s="91" t="s">
        <v>617</v>
      </c>
      <c r="H184" s="52"/>
      <c r="I184" s="52"/>
      <c r="J184" s="52"/>
      <c r="K184" s="52"/>
      <c r="L184" s="52"/>
    </row>
    <row r="185" customFormat="false" ht="15.75" hidden="true" customHeight="true" outlineLevel="0" collapsed="false">
      <c r="A185" s="90" t="s">
        <v>478</v>
      </c>
      <c r="B185" s="91" t="s">
        <v>606</v>
      </c>
      <c r="C185" s="91" t="s">
        <v>607</v>
      </c>
      <c r="D185" s="91"/>
      <c r="E185" s="90" t="s">
        <v>619</v>
      </c>
      <c r="F185" s="91" t="s">
        <v>103</v>
      </c>
      <c r="G185" s="91" t="s">
        <v>620</v>
      </c>
      <c r="H185" s="52"/>
      <c r="I185" s="52"/>
      <c r="J185" s="52"/>
      <c r="K185" s="52"/>
      <c r="L185" s="52"/>
    </row>
    <row r="186" customFormat="false" ht="15.75" hidden="true" customHeight="true" outlineLevel="0" collapsed="false">
      <c r="A186" s="90" t="s">
        <v>478</v>
      </c>
      <c r="B186" s="91" t="s">
        <v>606</v>
      </c>
      <c r="C186" s="91" t="s">
        <v>607</v>
      </c>
      <c r="D186" s="91"/>
      <c r="E186" s="90" t="s">
        <v>621</v>
      </c>
      <c r="F186" s="91" t="s">
        <v>622</v>
      </c>
      <c r="G186" s="91" t="s">
        <v>623</v>
      </c>
      <c r="H186" s="52"/>
      <c r="I186" s="52"/>
      <c r="J186" s="52"/>
      <c r="K186" s="52"/>
      <c r="L186" s="52"/>
    </row>
    <row r="187" customFormat="false" ht="15.75" hidden="true" customHeight="true" outlineLevel="0" collapsed="false">
      <c r="A187" s="90" t="s">
        <v>478</v>
      </c>
      <c r="B187" s="91" t="s">
        <v>606</v>
      </c>
      <c r="C187" s="91" t="s">
        <v>607</v>
      </c>
      <c r="D187" s="91"/>
      <c r="E187" s="90" t="s">
        <v>624</v>
      </c>
      <c r="F187" s="91" t="s">
        <v>128</v>
      </c>
      <c r="G187" s="91" t="s">
        <v>617</v>
      </c>
      <c r="H187" s="52"/>
      <c r="I187" s="52"/>
      <c r="J187" s="52"/>
      <c r="K187" s="52"/>
      <c r="L187" s="52"/>
    </row>
    <row r="188" customFormat="false" ht="15.75" hidden="true" customHeight="true" outlineLevel="0" collapsed="false">
      <c r="A188" s="90" t="s">
        <v>478</v>
      </c>
      <c r="B188" s="91" t="s">
        <v>606</v>
      </c>
      <c r="C188" s="91" t="s">
        <v>607</v>
      </c>
      <c r="D188" s="91"/>
      <c r="E188" s="90" t="s">
        <v>625</v>
      </c>
      <c r="F188" s="91" t="s">
        <v>65</v>
      </c>
      <c r="G188" s="91" t="s">
        <v>617</v>
      </c>
      <c r="H188" s="52"/>
      <c r="I188" s="52"/>
      <c r="J188" s="52"/>
      <c r="K188" s="52"/>
      <c r="L188" s="52"/>
    </row>
    <row r="189" customFormat="false" ht="15.75" hidden="true" customHeight="true" outlineLevel="0" collapsed="false">
      <c r="A189" s="90" t="s">
        <v>478</v>
      </c>
      <c r="B189" s="91" t="s">
        <v>606</v>
      </c>
      <c r="C189" s="91" t="s">
        <v>607</v>
      </c>
      <c r="D189" s="91"/>
      <c r="E189" s="90" t="s">
        <v>626</v>
      </c>
      <c r="F189" s="91" t="s">
        <v>627</v>
      </c>
      <c r="G189" s="91" t="s">
        <v>628</v>
      </c>
      <c r="H189" s="52"/>
      <c r="I189" s="52"/>
      <c r="J189" s="52"/>
      <c r="K189" s="52"/>
      <c r="L189" s="52"/>
    </row>
    <row r="190" customFormat="false" ht="15.75" hidden="true" customHeight="true" outlineLevel="0" collapsed="false">
      <c r="A190" s="90" t="s">
        <v>478</v>
      </c>
      <c r="B190" s="91" t="s">
        <v>606</v>
      </c>
      <c r="C190" s="91" t="s">
        <v>607</v>
      </c>
      <c r="D190" s="91"/>
      <c r="E190" s="90" t="s">
        <v>621</v>
      </c>
      <c r="F190" s="91" t="s">
        <v>622</v>
      </c>
      <c r="G190" s="91" t="s">
        <v>629</v>
      </c>
      <c r="H190" s="52"/>
      <c r="I190" s="52"/>
      <c r="J190" s="52"/>
      <c r="K190" s="52"/>
      <c r="L190" s="52"/>
    </row>
    <row r="191" customFormat="false" ht="15.75" hidden="true" customHeight="true" outlineLevel="0" collapsed="false">
      <c r="A191" s="90" t="s">
        <v>478</v>
      </c>
      <c r="B191" s="91" t="s">
        <v>606</v>
      </c>
      <c r="C191" s="91" t="s">
        <v>607</v>
      </c>
      <c r="D191" s="91"/>
      <c r="E191" s="90" t="s">
        <v>619</v>
      </c>
      <c r="F191" s="91" t="s">
        <v>103</v>
      </c>
      <c r="G191" s="91" t="s">
        <v>629</v>
      </c>
      <c r="H191" s="52"/>
      <c r="I191" s="52"/>
      <c r="J191" s="52"/>
      <c r="K191" s="52"/>
      <c r="L191" s="52"/>
    </row>
    <row r="192" customFormat="false" ht="15.75" hidden="true" customHeight="true" outlineLevel="0" collapsed="false">
      <c r="A192" s="90" t="s">
        <v>478</v>
      </c>
      <c r="B192" s="91" t="s">
        <v>606</v>
      </c>
      <c r="C192" s="91" t="s">
        <v>607</v>
      </c>
      <c r="D192" s="91"/>
      <c r="E192" s="90" t="s">
        <v>630</v>
      </c>
      <c r="F192" s="91" t="s">
        <v>541</v>
      </c>
      <c r="G192" s="91" t="s">
        <v>613</v>
      </c>
      <c r="H192" s="52"/>
      <c r="I192" s="52"/>
      <c r="J192" s="52"/>
      <c r="K192" s="52"/>
      <c r="L192" s="52"/>
    </row>
    <row r="193" customFormat="false" ht="15.75" hidden="true" customHeight="true" outlineLevel="0" collapsed="false">
      <c r="A193" s="90" t="s">
        <v>478</v>
      </c>
      <c r="B193" s="91" t="s">
        <v>606</v>
      </c>
      <c r="C193" s="91" t="s">
        <v>607</v>
      </c>
      <c r="D193" s="91"/>
      <c r="E193" s="90" t="s">
        <v>631</v>
      </c>
      <c r="F193" s="91" t="s">
        <v>146</v>
      </c>
      <c r="G193" s="91" t="s">
        <v>620</v>
      </c>
      <c r="H193" s="52"/>
      <c r="I193" s="52"/>
      <c r="J193" s="52"/>
      <c r="K193" s="52"/>
      <c r="L193" s="52"/>
    </row>
    <row r="194" customFormat="false" ht="15.75" hidden="true" customHeight="true" outlineLevel="0" collapsed="false">
      <c r="A194" s="90" t="s">
        <v>478</v>
      </c>
      <c r="B194" s="91" t="s">
        <v>606</v>
      </c>
      <c r="C194" s="91" t="s">
        <v>607</v>
      </c>
      <c r="D194" s="91"/>
      <c r="E194" s="90" t="s">
        <v>419</v>
      </c>
      <c r="F194" s="91" t="s">
        <v>470</v>
      </c>
      <c r="G194" s="91" t="s">
        <v>611</v>
      </c>
      <c r="H194" s="52"/>
      <c r="I194" s="52"/>
      <c r="J194" s="52"/>
      <c r="K194" s="52"/>
      <c r="L194" s="52"/>
    </row>
    <row r="195" customFormat="false" ht="15.75" hidden="true" customHeight="true" outlineLevel="0" collapsed="false">
      <c r="A195" s="90" t="s">
        <v>478</v>
      </c>
      <c r="B195" s="91" t="s">
        <v>606</v>
      </c>
      <c r="C195" s="91" t="s">
        <v>607</v>
      </c>
      <c r="D195" s="91"/>
      <c r="E195" s="90" t="s">
        <v>632</v>
      </c>
      <c r="F195" s="91" t="s">
        <v>85</v>
      </c>
      <c r="G195" s="91" t="s">
        <v>617</v>
      </c>
      <c r="H195" s="52"/>
      <c r="I195" s="52"/>
      <c r="J195" s="52"/>
      <c r="K195" s="52"/>
      <c r="L195" s="52"/>
    </row>
    <row r="196" customFormat="false" ht="15.75" hidden="true" customHeight="true" outlineLevel="0" collapsed="false">
      <c r="A196" s="90" t="s">
        <v>478</v>
      </c>
      <c r="B196" s="91" t="s">
        <v>606</v>
      </c>
      <c r="C196" s="91" t="s">
        <v>607</v>
      </c>
      <c r="D196" s="91"/>
      <c r="E196" s="90" t="s">
        <v>633</v>
      </c>
      <c r="F196" s="91" t="s">
        <v>634</v>
      </c>
      <c r="G196" s="91" t="s">
        <v>611</v>
      </c>
      <c r="H196" s="52"/>
      <c r="I196" s="52"/>
      <c r="J196" s="52"/>
      <c r="K196" s="52"/>
      <c r="L196" s="52"/>
    </row>
    <row r="197" customFormat="false" ht="15.75" hidden="true" customHeight="true" outlineLevel="0" collapsed="false">
      <c r="A197" s="90" t="s">
        <v>478</v>
      </c>
      <c r="B197" s="91" t="s">
        <v>606</v>
      </c>
      <c r="C197" s="91" t="s">
        <v>607</v>
      </c>
      <c r="D197" s="91"/>
      <c r="E197" s="90" t="s">
        <v>635</v>
      </c>
      <c r="F197" s="91" t="s">
        <v>636</v>
      </c>
      <c r="G197" s="91" t="s">
        <v>617</v>
      </c>
      <c r="H197" s="52"/>
      <c r="I197" s="52"/>
      <c r="J197" s="52"/>
      <c r="K197" s="52"/>
      <c r="L197" s="52"/>
    </row>
    <row r="198" customFormat="false" ht="15.75" hidden="true" customHeight="true" outlineLevel="0" collapsed="false">
      <c r="A198" s="90" t="s">
        <v>478</v>
      </c>
      <c r="B198" s="91" t="s">
        <v>606</v>
      </c>
      <c r="C198" s="91" t="s">
        <v>607</v>
      </c>
      <c r="D198" s="91"/>
      <c r="E198" s="90" t="s">
        <v>637</v>
      </c>
      <c r="F198" s="91" t="s">
        <v>160</v>
      </c>
      <c r="G198" s="91" t="s">
        <v>617</v>
      </c>
      <c r="H198" s="52"/>
      <c r="I198" s="52"/>
      <c r="J198" s="52"/>
      <c r="K198" s="52"/>
      <c r="L198" s="52"/>
    </row>
    <row r="199" customFormat="false" ht="15.75" hidden="true" customHeight="true" outlineLevel="0" collapsed="false">
      <c r="A199" s="90" t="s">
        <v>478</v>
      </c>
      <c r="B199" s="91" t="s">
        <v>606</v>
      </c>
      <c r="C199" s="91" t="s">
        <v>607</v>
      </c>
      <c r="D199" s="91"/>
      <c r="E199" s="90" t="s">
        <v>638</v>
      </c>
      <c r="F199" s="91" t="s">
        <v>480</v>
      </c>
      <c r="G199" s="91" t="s">
        <v>611</v>
      </c>
      <c r="H199" s="52"/>
      <c r="I199" s="52"/>
      <c r="J199" s="52"/>
      <c r="K199" s="52"/>
      <c r="L199" s="52"/>
    </row>
    <row r="200" customFormat="false" ht="15.75" hidden="true" customHeight="true" outlineLevel="0" collapsed="false">
      <c r="A200" s="90" t="s">
        <v>478</v>
      </c>
      <c r="B200" s="91" t="s">
        <v>606</v>
      </c>
      <c r="C200" s="91" t="s">
        <v>607</v>
      </c>
      <c r="D200" s="91"/>
      <c r="E200" s="90" t="s">
        <v>639</v>
      </c>
      <c r="F200" s="91" t="s">
        <v>118</v>
      </c>
      <c r="G200" s="91" t="s">
        <v>640</v>
      </c>
      <c r="H200" s="52"/>
      <c r="I200" s="52"/>
      <c r="J200" s="52"/>
      <c r="K200" s="52"/>
      <c r="L200" s="52"/>
    </row>
    <row r="201" customFormat="false" ht="15.75" hidden="true" customHeight="true" outlineLevel="0" collapsed="false">
      <c r="A201" s="90" t="s">
        <v>478</v>
      </c>
      <c r="B201" s="91" t="s">
        <v>606</v>
      </c>
      <c r="C201" s="91" t="s">
        <v>607</v>
      </c>
      <c r="D201" s="91"/>
      <c r="E201" s="90" t="s">
        <v>641</v>
      </c>
      <c r="F201" s="91" t="s">
        <v>167</v>
      </c>
      <c r="G201" s="91" t="s">
        <v>623</v>
      </c>
      <c r="H201" s="52"/>
      <c r="I201" s="52"/>
      <c r="J201" s="52"/>
      <c r="K201" s="52"/>
      <c r="L201" s="52"/>
    </row>
    <row r="202" customFormat="false" ht="15.75" hidden="true" customHeight="true" outlineLevel="0" collapsed="false">
      <c r="A202" s="90" t="s">
        <v>478</v>
      </c>
      <c r="B202" s="91" t="s">
        <v>606</v>
      </c>
      <c r="C202" s="91" t="s">
        <v>607</v>
      </c>
      <c r="D202" s="91"/>
      <c r="E202" s="90" t="s">
        <v>642</v>
      </c>
      <c r="F202" s="91" t="s">
        <v>193</v>
      </c>
      <c r="G202" s="91" t="s">
        <v>611</v>
      </c>
      <c r="H202" s="52"/>
      <c r="I202" s="52"/>
      <c r="J202" s="52"/>
      <c r="K202" s="52"/>
      <c r="L202" s="52"/>
    </row>
    <row r="203" customFormat="false" ht="15.75" hidden="true" customHeight="true" outlineLevel="0" collapsed="false">
      <c r="A203" s="90" t="s">
        <v>478</v>
      </c>
      <c r="B203" s="91" t="s">
        <v>606</v>
      </c>
      <c r="C203" s="91" t="s">
        <v>607</v>
      </c>
      <c r="D203" s="91"/>
      <c r="E203" s="90" t="s">
        <v>643</v>
      </c>
      <c r="F203" s="91" t="s">
        <v>644</v>
      </c>
      <c r="G203" s="91" t="s">
        <v>645</v>
      </c>
      <c r="H203" s="52"/>
      <c r="I203" s="52"/>
      <c r="J203" s="52"/>
      <c r="K203" s="52"/>
      <c r="L203" s="52"/>
    </row>
    <row r="204" customFormat="false" ht="15.75" hidden="true" customHeight="true" outlineLevel="0" collapsed="false">
      <c r="A204" s="90" t="s">
        <v>478</v>
      </c>
      <c r="B204" s="91" t="s">
        <v>606</v>
      </c>
      <c r="C204" s="91" t="s">
        <v>607</v>
      </c>
      <c r="D204" s="91"/>
      <c r="E204" s="90" t="s">
        <v>646</v>
      </c>
      <c r="F204" s="91" t="s">
        <v>647</v>
      </c>
      <c r="G204" s="91" t="s">
        <v>629</v>
      </c>
      <c r="H204" s="52"/>
      <c r="I204" s="52"/>
      <c r="J204" s="52"/>
      <c r="K204" s="52"/>
      <c r="L204" s="52"/>
    </row>
    <row r="205" customFormat="false" ht="15.75" hidden="true" customHeight="true" outlineLevel="0" collapsed="false">
      <c r="A205" s="90" t="s">
        <v>478</v>
      </c>
      <c r="B205" s="91" t="s">
        <v>606</v>
      </c>
      <c r="C205" s="91" t="s">
        <v>607</v>
      </c>
      <c r="D205" s="91"/>
      <c r="E205" s="90" t="s">
        <v>648</v>
      </c>
      <c r="F205" s="91" t="s">
        <v>517</v>
      </c>
      <c r="G205" s="91" t="s">
        <v>629</v>
      </c>
      <c r="H205" s="52"/>
      <c r="I205" s="52"/>
      <c r="J205" s="52"/>
      <c r="K205" s="52"/>
      <c r="L205" s="52"/>
    </row>
    <row r="206" customFormat="false" ht="15.75" hidden="true" customHeight="true" outlineLevel="0" collapsed="false">
      <c r="A206" s="90" t="s">
        <v>478</v>
      </c>
      <c r="B206" s="91" t="s">
        <v>606</v>
      </c>
      <c r="C206" s="91" t="s">
        <v>607</v>
      </c>
      <c r="D206" s="91"/>
      <c r="E206" s="90" t="s">
        <v>649</v>
      </c>
      <c r="F206" s="91" t="s">
        <v>650</v>
      </c>
      <c r="G206" s="91" t="s">
        <v>640</v>
      </c>
      <c r="H206" s="52"/>
      <c r="I206" s="52"/>
      <c r="J206" s="52"/>
      <c r="K206" s="52"/>
      <c r="L206" s="52"/>
    </row>
    <row r="207" customFormat="false" ht="15.75" hidden="true" customHeight="true" outlineLevel="0" collapsed="false">
      <c r="A207" s="90" t="s">
        <v>478</v>
      </c>
      <c r="B207" s="91" t="s">
        <v>606</v>
      </c>
      <c r="C207" s="91" t="s">
        <v>607</v>
      </c>
      <c r="D207" s="91"/>
      <c r="E207" s="90" t="s">
        <v>651</v>
      </c>
      <c r="F207" s="91" t="s">
        <v>62</v>
      </c>
      <c r="G207" s="91" t="s">
        <v>629</v>
      </c>
      <c r="H207" s="52"/>
      <c r="I207" s="52"/>
      <c r="J207" s="52"/>
      <c r="K207" s="52"/>
      <c r="L207" s="52"/>
    </row>
    <row r="208" customFormat="false" ht="15.75" hidden="true" customHeight="true" outlineLevel="0" collapsed="false">
      <c r="A208" s="90" t="s">
        <v>478</v>
      </c>
      <c r="B208" s="91" t="s">
        <v>606</v>
      </c>
      <c r="C208" s="91" t="s">
        <v>607</v>
      </c>
      <c r="D208" s="91"/>
      <c r="E208" s="90" t="s">
        <v>652</v>
      </c>
      <c r="F208" s="91" t="s">
        <v>653</v>
      </c>
      <c r="G208" s="91" t="s">
        <v>645</v>
      </c>
      <c r="H208" s="52"/>
      <c r="I208" s="52"/>
      <c r="J208" s="52"/>
      <c r="K208" s="52"/>
      <c r="L208" s="52"/>
    </row>
    <row r="209" customFormat="false" ht="15.75" hidden="true" customHeight="true" outlineLevel="0" collapsed="false">
      <c r="A209" s="90" t="s">
        <v>478</v>
      </c>
      <c r="B209" s="91" t="s">
        <v>606</v>
      </c>
      <c r="C209" s="91" t="s">
        <v>607</v>
      </c>
      <c r="D209" s="91"/>
      <c r="E209" s="90" t="s">
        <v>654</v>
      </c>
      <c r="F209" s="91" t="s">
        <v>627</v>
      </c>
      <c r="G209" s="91" t="s">
        <v>629</v>
      </c>
      <c r="H209" s="52"/>
      <c r="I209" s="52"/>
      <c r="J209" s="52"/>
      <c r="K209" s="52"/>
      <c r="L209" s="52"/>
    </row>
    <row r="210" customFormat="false" ht="15.75" hidden="true" customHeight="true" outlineLevel="0" collapsed="false">
      <c r="A210" s="90" t="s">
        <v>478</v>
      </c>
      <c r="B210" s="91" t="s">
        <v>606</v>
      </c>
      <c r="C210" s="91" t="s">
        <v>607</v>
      </c>
      <c r="D210" s="91"/>
      <c r="E210" s="90" t="s">
        <v>655</v>
      </c>
      <c r="F210" s="91" t="s">
        <v>214</v>
      </c>
      <c r="G210" s="91" t="s">
        <v>629</v>
      </c>
      <c r="H210" s="52"/>
      <c r="I210" s="52"/>
      <c r="J210" s="52"/>
      <c r="K210" s="52"/>
      <c r="L210" s="52"/>
    </row>
    <row r="211" customFormat="false" ht="15.75" hidden="true" customHeight="true" outlineLevel="0" collapsed="false">
      <c r="A211" s="90" t="s">
        <v>478</v>
      </c>
      <c r="B211" s="91" t="s">
        <v>606</v>
      </c>
      <c r="C211" s="91" t="s">
        <v>607</v>
      </c>
      <c r="D211" s="91"/>
      <c r="E211" s="90" t="s">
        <v>656</v>
      </c>
      <c r="F211" s="91" t="s">
        <v>657</v>
      </c>
      <c r="G211" s="91" t="s">
        <v>617</v>
      </c>
      <c r="H211" s="52"/>
      <c r="I211" s="52"/>
      <c r="J211" s="52"/>
      <c r="K211" s="52"/>
      <c r="L211" s="52"/>
    </row>
    <row r="212" customFormat="false" ht="15.75" hidden="false" customHeight="true" outlineLevel="0" collapsed="false">
      <c r="A212" s="92"/>
      <c r="B212" s="52"/>
      <c r="C212" s="93"/>
      <c r="D212" s="93"/>
      <c r="E212" s="92"/>
      <c r="F212" s="52"/>
      <c r="G212" s="52"/>
      <c r="H212" s="52"/>
      <c r="I212" s="52"/>
      <c r="J212" s="52"/>
      <c r="K212" s="52"/>
      <c r="L212" s="52"/>
    </row>
    <row r="213" customFormat="false" ht="15.75" hidden="false" customHeight="true" outlineLevel="0" collapsed="false">
      <c r="A213" s="94" t="s">
        <v>658</v>
      </c>
      <c r="B213" s="94"/>
      <c r="C213" s="94"/>
      <c r="D213" s="94"/>
      <c r="E213" s="94"/>
      <c r="F213" s="94"/>
      <c r="G213" s="94"/>
      <c r="H213" s="52"/>
      <c r="I213" s="52"/>
      <c r="J213" s="52"/>
      <c r="K213" s="52"/>
      <c r="L213" s="52"/>
    </row>
    <row r="214" customFormat="false" ht="15.75" hidden="false" customHeight="true" outlineLevel="0" collapsed="false">
      <c r="A214" s="73" t="s">
        <v>488</v>
      </c>
      <c r="B214" s="74" t="s">
        <v>488</v>
      </c>
      <c r="C214" s="75">
        <v>34</v>
      </c>
      <c r="D214" s="75">
        <v>8.85</v>
      </c>
      <c r="E214" s="73" t="s">
        <v>659</v>
      </c>
      <c r="F214" s="74" t="s">
        <v>650</v>
      </c>
      <c r="G214" s="74" t="s">
        <v>318</v>
      </c>
      <c r="H214" s="64"/>
      <c r="I214" s="64"/>
      <c r="J214" s="64"/>
      <c r="K214" s="64"/>
      <c r="L214" s="64"/>
    </row>
    <row r="215" customFormat="false" ht="15.75" hidden="false" customHeight="true" outlineLevel="0" collapsed="false">
      <c r="A215" s="73" t="s">
        <v>59</v>
      </c>
      <c r="B215" s="74" t="s">
        <v>60</v>
      </c>
      <c r="C215" s="75">
        <v>34</v>
      </c>
      <c r="D215" s="75">
        <v>8.85</v>
      </c>
      <c r="E215" s="73" t="s">
        <v>660</v>
      </c>
      <c r="F215" s="74" t="s">
        <v>661</v>
      </c>
      <c r="G215" s="74" t="s">
        <v>318</v>
      </c>
      <c r="H215" s="64"/>
      <c r="I215" s="64"/>
      <c r="J215" s="64"/>
      <c r="K215" s="64"/>
      <c r="L215" s="64"/>
    </row>
    <row r="216" customFormat="false" ht="15.75" hidden="false" customHeight="true" outlineLevel="0" collapsed="false">
      <c r="A216" s="73" t="s">
        <v>59</v>
      </c>
      <c r="B216" s="74" t="s">
        <v>60</v>
      </c>
      <c r="C216" s="75">
        <v>34</v>
      </c>
      <c r="D216" s="75">
        <v>8.85</v>
      </c>
      <c r="E216" s="73" t="s">
        <v>662</v>
      </c>
      <c r="F216" s="74" t="s">
        <v>663</v>
      </c>
      <c r="G216" s="74" t="s">
        <v>318</v>
      </c>
      <c r="H216" s="64"/>
      <c r="I216" s="64"/>
      <c r="J216" s="64"/>
      <c r="K216" s="64"/>
      <c r="L216" s="64"/>
    </row>
    <row r="217" customFormat="false" ht="15.75" hidden="false" customHeight="true" outlineLevel="0" collapsed="false">
      <c r="A217" s="90" t="s">
        <v>59</v>
      </c>
      <c r="B217" s="91" t="s">
        <v>60</v>
      </c>
      <c r="C217" s="95">
        <v>34</v>
      </c>
      <c r="D217" s="95">
        <v>8.85</v>
      </c>
      <c r="E217" s="90" t="s">
        <v>316</v>
      </c>
      <c r="F217" s="91" t="s">
        <v>317</v>
      </c>
      <c r="G217" s="91" t="s">
        <v>318</v>
      </c>
      <c r="H217" s="52"/>
      <c r="I217" s="52"/>
      <c r="J217" s="52"/>
      <c r="K217" s="52"/>
      <c r="L217" s="52"/>
    </row>
    <row r="218" customFormat="false" ht="15.75" hidden="false" customHeight="true" outlineLevel="0" collapsed="false">
      <c r="A218" s="90" t="s">
        <v>59</v>
      </c>
      <c r="B218" s="91" t="s">
        <v>60</v>
      </c>
      <c r="C218" s="95">
        <v>34</v>
      </c>
      <c r="D218" s="95">
        <v>8.85</v>
      </c>
      <c r="E218" s="73" t="s">
        <v>664</v>
      </c>
      <c r="F218" s="74" t="s">
        <v>665</v>
      </c>
      <c r="G218" s="91" t="s">
        <v>318</v>
      </c>
      <c r="H218" s="52"/>
      <c r="I218" s="52"/>
      <c r="J218" s="52"/>
      <c r="K218" s="52"/>
      <c r="L218" s="52"/>
    </row>
    <row r="219" customFormat="false" ht="15.75" hidden="false" customHeight="true" outlineLevel="0" collapsed="false">
      <c r="A219" s="73" t="s">
        <v>59</v>
      </c>
      <c r="B219" s="74" t="s">
        <v>60</v>
      </c>
      <c r="C219" s="75">
        <v>34</v>
      </c>
      <c r="D219" s="75">
        <v>8.85</v>
      </c>
      <c r="E219" s="73" t="s">
        <v>666</v>
      </c>
      <c r="F219" s="74" t="s">
        <v>667</v>
      </c>
      <c r="G219" s="74" t="s">
        <v>318</v>
      </c>
      <c r="H219" s="64"/>
      <c r="I219" s="64"/>
      <c r="J219" s="64"/>
      <c r="K219" s="64"/>
      <c r="L219" s="64"/>
    </row>
    <row r="220" customFormat="false" ht="15.75" hidden="false" customHeight="true" outlineLevel="0" collapsed="false">
      <c r="A220" s="73" t="s">
        <v>11</v>
      </c>
      <c r="B220" s="74" t="s">
        <v>668</v>
      </c>
      <c r="C220" s="75">
        <v>13</v>
      </c>
      <c r="D220" s="75">
        <v>3.4</v>
      </c>
      <c r="E220" s="73" t="s">
        <v>669</v>
      </c>
      <c r="F220" s="74" t="s">
        <v>45</v>
      </c>
      <c r="G220" s="74" t="s">
        <v>318</v>
      </c>
      <c r="H220" s="64"/>
      <c r="I220" s="64"/>
      <c r="J220" s="64"/>
      <c r="K220" s="64"/>
      <c r="L220" s="64"/>
    </row>
    <row r="221" customFormat="false" ht="15.75" hidden="false" customHeight="true" outlineLevel="0" collapsed="false">
      <c r="A221" s="73" t="s">
        <v>478</v>
      </c>
      <c r="B221" s="74" t="s">
        <v>606</v>
      </c>
      <c r="C221" s="75" t="s">
        <v>607</v>
      </c>
      <c r="D221" s="75"/>
      <c r="E221" s="73" t="s">
        <v>670</v>
      </c>
      <c r="F221" s="74" t="s">
        <v>128</v>
      </c>
      <c r="G221" s="74" t="s">
        <v>318</v>
      </c>
      <c r="H221" s="64"/>
      <c r="I221" s="64"/>
      <c r="J221" s="64"/>
      <c r="K221" s="64"/>
      <c r="L221" s="64"/>
    </row>
    <row r="222" customFormat="false" ht="15.75" hidden="false" customHeight="true" outlineLevel="0" collapsed="false">
      <c r="A222" s="73" t="s">
        <v>478</v>
      </c>
      <c r="B222" s="74" t="s">
        <v>606</v>
      </c>
      <c r="C222" s="75" t="s">
        <v>607</v>
      </c>
      <c r="D222" s="75"/>
      <c r="E222" s="73" t="s">
        <v>670</v>
      </c>
      <c r="F222" s="74" t="s">
        <v>128</v>
      </c>
      <c r="G222" s="74" t="s">
        <v>318</v>
      </c>
      <c r="H222" s="64"/>
      <c r="I222" s="64"/>
      <c r="J222" s="64"/>
      <c r="K222" s="64"/>
      <c r="L222" s="64"/>
    </row>
    <row r="223" customFormat="false" ht="15.75" hidden="false" customHeight="true" outlineLevel="0" collapsed="false">
      <c r="A223" s="73" t="s">
        <v>478</v>
      </c>
      <c r="B223" s="74" t="s">
        <v>606</v>
      </c>
      <c r="C223" s="75" t="s">
        <v>607</v>
      </c>
      <c r="D223" s="75"/>
      <c r="E223" s="73" t="s">
        <v>670</v>
      </c>
      <c r="F223" s="74" t="s">
        <v>128</v>
      </c>
      <c r="G223" s="74" t="s">
        <v>318</v>
      </c>
      <c r="H223" s="64"/>
      <c r="I223" s="64"/>
      <c r="J223" s="64"/>
      <c r="K223" s="64"/>
      <c r="L223" s="64"/>
    </row>
    <row r="224" customFormat="false" ht="15.75" hidden="false" customHeight="true" outlineLevel="0" collapsed="false">
      <c r="A224" s="73" t="s">
        <v>478</v>
      </c>
      <c r="B224" s="74" t="s">
        <v>606</v>
      </c>
      <c r="C224" s="75" t="s">
        <v>607</v>
      </c>
      <c r="D224" s="75"/>
      <c r="E224" s="73" t="s">
        <v>670</v>
      </c>
      <c r="F224" s="74" t="s">
        <v>128</v>
      </c>
      <c r="G224" s="74" t="s">
        <v>318</v>
      </c>
      <c r="H224" s="64"/>
      <c r="I224" s="64"/>
      <c r="J224" s="64"/>
      <c r="K224" s="64"/>
      <c r="L224" s="64"/>
    </row>
    <row r="225" customFormat="false" ht="15.75" hidden="false" customHeight="true" outlineLevel="0" collapsed="false">
      <c r="A225" s="73" t="s">
        <v>478</v>
      </c>
      <c r="B225" s="74" t="s">
        <v>606</v>
      </c>
      <c r="C225" s="75" t="s">
        <v>607</v>
      </c>
      <c r="D225" s="75"/>
      <c r="E225" s="73" t="s">
        <v>671</v>
      </c>
      <c r="F225" s="74" t="s">
        <v>167</v>
      </c>
      <c r="G225" s="74" t="s">
        <v>318</v>
      </c>
      <c r="H225" s="64"/>
      <c r="I225" s="64"/>
      <c r="J225" s="64"/>
      <c r="K225" s="64"/>
      <c r="L225" s="64"/>
    </row>
    <row r="226" customFormat="false" ht="15.75" hidden="false" customHeight="true" outlineLevel="0" collapsed="false">
      <c r="A226" s="73" t="s">
        <v>22</v>
      </c>
      <c r="B226" s="74" t="s">
        <v>508</v>
      </c>
      <c r="C226" s="75">
        <v>34</v>
      </c>
      <c r="D226" s="75">
        <v>8.85</v>
      </c>
      <c r="E226" s="73" t="s">
        <v>672</v>
      </c>
      <c r="F226" s="74" t="s">
        <v>673</v>
      </c>
      <c r="G226" s="74" t="s">
        <v>318</v>
      </c>
      <c r="H226" s="64"/>
      <c r="I226" s="64"/>
      <c r="J226" s="64"/>
      <c r="K226" s="64"/>
      <c r="L226" s="64"/>
    </row>
    <row r="227" customFormat="false" ht="15.75" hidden="false" customHeight="true" outlineLevel="0" collapsed="false">
      <c r="A227" s="73" t="s">
        <v>22</v>
      </c>
      <c r="B227" s="74" t="s">
        <v>674</v>
      </c>
      <c r="C227" s="75">
        <v>34</v>
      </c>
      <c r="D227" s="75">
        <v>8.85</v>
      </c>
      <c r="E227" s="73" t="s">
        <v>675</v>
      </c>
      <c r="F227" s="74" t="s">
        <v>676</v>
      </c>
      <c r="G227" s="74" t="s">
        <v>318</v>
      </c>
      <c r="H227" s="64"/>
      <c r="I227" s="64"/>
      <c r="J227" s="64"/>
      <c r="K227" s="64"/>
      <c r="L227" s="64"/>
    </row>
    <row r="228" customFormat="false" ht="15.75" hidden="false" customHeight="true" outlineLevel="0" collapsed="false">
      <c r="A228" s="96"/>
      <c r="B228" s="96"/>
      <c r="C228" s="96"/>
      <c r="D228" s="96"/>
      <c r="E228" s="96"/>
      <c r="F228" s="96"/>
      <c r="G228" s="96"/>
      <c r="H228" s="52"/>
      <c r="I228" s="52"/>
      <c r="J228" s="52"/>
      <c r="K228" s="52"/>
      <c r="L228" s="52"/>
    </row>
    <row r="229" customFormat="false" ht="15.75" hidden="false" customHeight="true" outlineLevel="0" collapsed="false">
      <c r="A229" s="97"/>
      <c r="B229" s="97"/>
      <c r="C229" s="97"/>
      <c r="D229" s="97"/>
      <c r="E229" s="97"/>
      <c r="F229" s="97"/>
      <c r="G229" s="97"/>
      <c r="H229" s="52"/>
      <c r="I229" s="52"/>
      <c r="J229" s="52"/>
      <c r="K229" s="52"/>
      <c r="L229" s="52"/>
    </row>
    <row r="230" customFormat="false" ht="15.75" hidden="false" customHeight="true" outlineLevel="0" collapsed="false">
      <c r="A230" s="92"/>
      <c r="B230" s="52"/>
      <c r="C230" s="93"/>
      <c r="D230" s="93"/>
      <c r="E230" s="52"/>
      <c r="F230" s="52"/>
      <c r="G230" s="52"/>
      <c r="H230" s="52"/>
      <c r="I230" s="52"/>
      <c r="J230" s="52"/>
      <c r="K230" s="52"/>
      <c r="L230" s="52"/>
    </row>
    <row r="231" customFormat="false" ht="15.75" hidden="false" customHeight="true" outlineLevel="0" collapsed="false">
      <c r="A231" s="90"/>
      <c r="B231" s="91"/>
      <c r="C231" s="95" t="s">
        <v>677</v>
      </c>
      <c r="D231" s="95" t="s">
        <v>678</v>
      </c>
      <c r="E231" s="52"/>
      <c r="F231" s="52"/>
      <c r="G231" s="52"/>
      <c r="H231" s="52"/>
      <c r="I231" s="52"/>
      <c r="J231" s="52"/>
      <c r="K231" s="52"/>
      <c r="L231" s="52"/>
    </row>
    <row r="232" customFormat="false" ht="15.75" hidden="false" customHeight="true" outlineLevel="0" collapsed="false">
      <c r="A232" s="98">
        <v>13</v>
      </c>
      <c r="B232" s="91" t="s">
        <v>679</v>
      </c>
      <c r="C232" s="95">
        <v>77</v>
      </c>
      <c r="D232" s="95">
        <v>1</v>
      </c>
      <c r="E232" s="52"/>
      <c r="F232" s="52"/>
      <c r="G232" s="52"/>
      <c r="H232" s="52"/>
      <c r="I232" s="52"/>
      <c r="J232" s="52"/>
      <c r="K232" s="52"/>
      <c r="L232" s="52"/>
    </row>
    <row r="233" customFormat="false" ht="15.75" hidden="false" customHeight="true" outlineLevel="0" collapsed="false">
      <c r="A233" s="98">
        <v>83</v>
      </c>
      <c r="B233" s="91" t="s">
        <v>680</v>
      </c>
      <c r="C233" s="95">
        <v>28</v>
      </c>
      <c r="D233" s="95">
        <v>0</v>
      </c>
      <c r="E233" s="52"/>
      <c r="F233" s="52"/>
      <c r="G233" s="52"/>
      <c r="H233" s="52"/>
      <c r="I233" s="52"/>
      <c r="J233" s="52"/>
      <c r="K233" s="52"/>
      <c r="L233" s="52"/>
    </row>
    <row r="234" customFormat="false" ht="15.75" hidden="false" customHeight="true" outlineLevel="0" collapsed="false">
      <c r="A234" s="98" t="s">
        <v>18</v>
      </c>
      <c r="B234" s="91" t="s">
        <v>681</v>
      </c>
      <c r="C234" s="95">
        <v>16</v>
      </c>
      <c r="D234" s="95"/>
      <c r="E234" s="52"/>
      <c r="F234" s="52"/>
      <c r="G234" s="52"/>
      <c r="H234" s="52"/>
      <c r="I234" s="52"/>
      <c r="J234" s="52"/>
      <c r="K234" s="52"/>
      <c r="L234" s="52"/>
    </row>
    <row r="235" customFormat="false" ht="15.75" hidden="false" customHeight="true" outlineLevel="0" collapsed="false">
      <c r="A235" s="98" t="s">
        <v>32</v>
      </c>
      <c r="B235" s="91" t="s">
        <v>682</v>
      </c>
      <c r="C235" s="95">
        <v>19</v>
      </c>
      <c r="D235" s="95"/>
      <c r="E235" s="52"/>
      <c r="F235" s="52"/>
      <c r="G235" s="52"/>
      <c r="H235" s="52"/>
      <c r="I235" s="52"/>
      <c r="J235" s="52"/>
      <c r="K235" s="52"/>
      <c r="L235" s="52"/>
    </row>
    <row r="236" customFormat="false" ht="15.75" hidden="false" customHeight="true" outlineLevel="0" collapsed="false">
      <c r="A236" s="98">
        <v>6</v>
      </c>
      <c r="B236" s="91" t="s">
        <v>683</v>
      </c>
      <c r="C236" s="95">
        <v>5</v>
      </c>
      <c r="D236" s="95"/>
      <c r="E236" s="52"/>
      <c r="F236" s="52"/>
      <c r="G236" s="52"/>
      <c r="H236" s="52"/>
      <c r="I236" s="52"/>
      <c r="J236" s="52"/>
      <c r="K236" s="52"/>
      <c r="L236" s="52"/>
    </row>
    <row r="237" customFormat="false" ht="15.75" hidden="false" customHeight="true" outlineLevel="0" collapsed="false">
      <c r="A237" s="98">
        <v>34</v>
      </c>
      <c r="B237" s="91" t="s">
        <v>684</v>
      </c>
      <c r="C237" s="95">
        <v>32</v>
      </c>
      <c r="D237" s="95">
        <v>8</v>
      </c>
      <c r="E237" s="52"/>
      <c r="F237" s="52"/>
      <c r="G237" s="52"/>
      <c r="H237" s="52"/>
      <c r="I237" s="52"/>
      <c r="J237" s="52"/>
      <c r="K237" s="52"/>
      <c r="L237" s="52"/>
    </row>
    <row r="238" customFormat="false" ht="15.75" hidden="false" customHeight="true" outlineLevel="0" collapsed="false">
      <c r="A238" s="98">
        <v>11</v>
      </c>
      <c r="B238" s="91" t="s">
        <v>685</v>
      </c>
      <c r="C238" s="95">
        <v>2</v>
      </c>
      <c r="D238" s="95"/>
      <c r="E238" s="52"/>
      <c r="F238" s="52"/>
      <c r="G238" s="52"/>
      <c r="H238" s="52"/>
      <c r="I238" s="52"/>
      <c r="J238" s="52"/>
      <c r="K238" s="52"/>
      <c r="L238" s="52"/>
    </row>
    <row r="239" customFormat="false" ht="15.75" hidden="false" customHeight="true" outlineLevel="0" collapsed="false">
      <c r="A239" s="92"/>
      <c r="B239" s="52"/>
      <c r="C239" s="93">
        <v>179</v>
      </c>
      <c r="D239" s="93"/>
      <c r="E239" s="52"/>
      <c r="F239" s="52"/>
      <c r="G239" s="52"/>
      <c r="H239" s="52"/>
      <c r="I239" s="52"/>
      <c r="J239" s="52"/>
      <c r="K239" s="52"/>
      <c r="L239" s="52"/>
    </row>
  </sheetData>
  <autoFilter ref="A1:L211">
    <filterColumn colId="1">
      <filters>
        <filter val="CROSS MED LA GARDE"/>
      </filters>
    </filterColumn>
  </autoFilter>
  <mergeCells count="1">
    <mergeCell ref="A213:G2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6953125" defaultRowHeight="14.25" customHeight="false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1" width="22.66"/>
    <col collapsed="false" customWidth="true" hidden="false" outlineLevel="0" max="3" min="3" style="1" width="21.1"/>
    <col collapsed="false" customWidth="true" hidden="false" outlineLevel="0" max="4" min="4" style="1" width="23.66"/>
    <col collapsed="false" customWidth="true" hidden="false" outlineLevel="0" max="5" min="5" style="1" width="20.33"/>
  </cols>
  <sheetData>
    <row r="1" customFormat="false" ht="68.65" hidden="false" customHeight="false" outlineLevel="0" collapsed="false">
      <c r="A1" s="99" t="s">
        <v>2</v>
      </c>
      <c r="B1" s="100" t="s">
        <v>686</v>
      </c>
      <c r="C1" s="101" t="s">
        <v>687</v>
      </c>
      <c r="D1" s="99" t="s">
        <v>688</v>
      </c>
      <c r="E1" s="99" t="s">
        <v>689</v>
      </c>
    </row>
    <row r="2" customFormat="false" ht="14.25" hidden="false" customHeight="false" outlineLevel="0" collapsed="false">
      <c r="A2" s="102" t="s">
        <v>32</v>
      </c>
      <c r="B2" s="103">
        <v>3</v>
      </c>
      <c r="C2" s="104">
        <v>1.5</v>
      </c>
      <c r="D2" s="105" t="n">
        <f aca="false">C2+B2</f>
        <v>4.5</v>
      </c>
      <c r="E2" s="105" t="n">
        <f aca="false">B2</f>
        <v>3</v>
      </c>
    </row>
    <row r="3" customFormat="false" ht="14.25" hidden="false" customHeight="false" outlineLevel="0" collapsed="false">
      <c r="A3" s="106" t="s">
        <v>18</v>
      </c>
      <c r="B3" s="107">
        <v>3.74</v>
      </c>
      <c r="C3" s="108">
        <v>1.5</v>
      </c>
      <c r="D3" s="109" t="n">
        <f aca="false">C3+B3</f>
        <v>5.24</v>
      </c>
      <c r="E3" s="109" t="n">
        <f aca="false">B3</f>
        <v>3.74</v>
      </c>
    </row>
    <row r="4" customFormat="false" ht="14.25" hidden="false" customHeight="false" outlineLevel="0" collapsed="false">
      <c r="A4" s="110">
        <v>6</v>
      </c>
      <c r="B4" s="107">
        <v>3.91</v>
      </c>
      <c r="C4" s="108">
        <v>1.62</v>
      </c>
      <c r="D4" s="109" t="n">
        <f aca="false">C4+B4</f>
        <v>5.53</v>
      </c>
      <c r="E4" s="109" t="n">
        <f aca="false">B4</f>
        <v>3.91</v>
      </c>
    </row>
    <row r="5" customFormat="false" ht="14.25" hidden="false" customHeight="false" outlineLevel="0" collapsed="false">
      <c r="A5" s="106">
        <v>11</v>
      </c>
      <c r="B5" s="107">
        <v>2.89</v>
      </c>
      <c r="C5" s="108">
        <v>1.62</v>
      </c>
      <c r="D5" s="109" t="n">
        <f aca="false">C5+B5</f>
        <v>4.51</v>
      </c>
      <c r="E5" s="109" t="n">
        <f aca="false">B5</f>
        <v>2.89</v>
      </c>
    </row>
    <row r="6" customFormat="false" ht="14.25" hidden="false" customHeight="false" outlineLevel="0" collapsed="false">
      <c r="A6" s="106">
        <v>34</v>
      </c>
      <c r="B6" s="107">
        <v>8.85</v>
      </c>
      <c r="C6" s="108">
        <v>1.62</v>
      </c>
      <c r="D6" s="109" t="n">
        <f aca="false">C6+B6</f>
        <v>10.47</v>
      </c>
      <c r="E6" s="109" t="n">
        <f aca="false">B6</f>
        <v>8.85</v>
      </c>
    </row>
    <row r="7" customFormat="false" ht="14.25" hidden="false" customHeight="false" outlineLevel="0" collapsed="false">
      <c r="A7" s="106">
        <v>13</v>
      </c>
      <c r="B7" s="107">
        <v>3.4</v>
      </c>
      <c r="C7" s="108">
        <v>1.62</v>
      </c>
      <c r="D7" s="109" t="n">
        <f aca="false">C7+B7</f>
        <v>5.02</v>
      </c>
      <c r="E7" s="109" t="n">
        <f aca="false">B7</f>
        <v>3.4</v>
      </c>
    </row>
    <row r="8" customFormat="false" ht="14.25" hidden="false" customHeight="false" outlineLevel="0" collapsed="false">
      <c r="A8" s="111">
        <v>83</v>
      </c>
      <c r="B8" s="112">
        <v>1.6</v>
      </c>
      <c r="C8" s="113">
        <v>1.62</v>
      </c>
      <c r="D8" s="114" t="n">
        <f aca="false">C8+B8</f>
        <v>3.22</v>
      </c>
      <c r="E8" s="114" t="n">
        <f aca="false">B8</f>
        <v>1.6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0.70703125" defaultRowHeight="14.25" customHeight="false" zeroHeight="false" outlineLevelRow="0" outlineLevelCol="0"/>
  <cols>
    <col collapsed="false" customWidth="true" hidden="false" outlineLevel="0" max="3" min="3" style="1" width="14.11"/>
    <col collapsed="false" customWidth="true" hidden="false" outlineLevel="0" max="4" min="4" style="1" width="16.56"/>
    <col collapsed="false" customWidth="true" hidden="false" outlineLevel="0" max="5" min="5" style="1" width="16.11"/>
    <col collapsed="false" customWidth="true" hidden="false" outlineLevel="0" max="6" min="6" style="1" width="13.55"/>
    <col collapsed="false" customWidth="true" hidden="false" outlineLevel="0" max="7" min="7" style="1" width="13.34"/>
    <col collapsed="false" customWidth="true" hidden="false" outlineLevel="0" max="9" min="8" style="1" width="16.11"/>
  </cols>
  <sheetData>
    <row r="2" customFormat="false" ht="57.45" hidden="false" customHeight="false" outlineLevel="0" collapsed="false">
      <c r="B2" s="18"/>
      <c r="C2" s="2" t="s">
        <v>690</v>
      </c>
      <c r="D2" s="4" t="s">
        <v>691</v>
      </c>
      <c r="E2" s="2" t="s">
        <v>692</v>
      </c>
      <c r="F2" s="4" t="s">
        <v>693</v>
      </c>
      <c r="G2" s="4" t="s">
        <v>694</v>
      </c>
      <c r="H2" s="4" t="s">
        <v>695</v>
      </c>
      <c r="I2" s="115" t="s">
        <v>696</v>
      </c>
    </row>
    <row r="3" customFormat="false" ht="15" hidden="false" customHeight="true" outlineLevel="0" collapsed="false">
      <c r="B3" s="116" t="s">
        <v>697</v>
      </c>
      <c r="C3" s="117" t="s">
        <v>32</v>
      </c>
      <c r="D3" s="118">
        <v>3</v>
      </c>
      <c r="E3" s="119">
        <v>5</v>
      </c>
      <c r="F3" s="118" t="n">
        <f aca="false">+E3*D3</f>
        <v>15</v>
      </c>
      <c r="G3" s="120" t="n">
        <f aca="false">+F3*23</f>
        <v>345</v>
      </c>
      <c r="H3" s="120" t="n">
        <f aca="false">+G3*12</f>
        <v>4140</v>
      </c>
      <c r="I3" s="121" t="s">
        <v>698</v>
      </c>
    </row>
    <row r="4" customFormat="false" ht="14.25" hidden="false" customHeight="false" outlineLevel="0" collapsed="false">
      <c r="B4" s="116"/>
      <c r="C4" s="117" t="s">
        <v>18</v>
      </c>
      <c r="D4" s="118">
        <v>3.74</v>
      </c>
      <c r="E4" s="119">
        <v>4</v>
      </c>
      <c r="F4" s="118" t="n">
        <f aca="false">+E4*D4</f>
        <v>14.96</v>
      </c>
      <c r="G4" s="120" t="n">
        <f aca="false">+F4*23</f>
        <v>344.08</v>
      </c>
      <c r="H4" s="120" t="n">
        <f aca="false">+G4*12</f>
        <v>4128.96</v>
      </c>
      <c r="I4" s="121"/>
    </row>
    <row r="5" customFormat="false" ht="14.25" hidden="false" customHeight="false" outlineLevel="0" collapsed="false">
      <c r="B5" s="116"/>
      <c r="C5" s="117" t="s">
        <v>32</v>
      </c>
      <c r="D5" s="118">
        <v>4.5</v>
      </c>
      <c r="E5" s="119">
        <v>11</v>
      </c>
      <c r="F5" s="118" t="n">
        <f aca="false">+E5*D5</f>
        <v>49.5</v>
      </c>
      <c r="G5" s="120" t="n">
        <f aca="false">+F5*23</f>
        <v>1138.5</v>
      </c>
      <c r="H5" s="120" t="n">
        <f aca="false">+G5*12</f>
        <v>13662</v>
      </c>
      <c r="I5" s="121"/>
    </row>
    <row r="6" customFormat="false" ht="14.25" hidden="false" customHeight="false" outlineLevel="0" collapsed="false">
      <c r="B6" s="116"/>
      <c r="C6" s="117">
        <v>13</v>
      </c>
      <c r="D6" s="118">
        <v>5.02</v>
      </c>
      <c r="E6" s="119">
        <v>3</v>
      </c>
      <c r="F6" s="118" t="n">
        <f aca="false">+E6*D6</f>
        <v>15.06</v>
      </c>
      <c r="G6" s="120" t="n">
        <f aca="false">+F6*23</f>
        <v>346.38</v>
      </c>
      <c r="H6" s="120" t="n">
        <f aca="false">+G6*12</f>
        <v>4156.56</v>
      </c>
      <c r="I6" s="121"/>
    </row>
    <row r="7" customFormat="false" ht="14.25" hidden="false" customHeight="false" outlineLevel="0" collapsed="false">
      <c r="B7" s="116"/>
      <c r="C7" s="117" t="s">
        <v>18</v>
      </c>
      <c r="D7" s="118">
        <v>5.24</v>
      </c>
      <c r="E7" s="119">
        <v>6</v>
      </c>
      <c r="F7" s="118" t="n">
        <f aca="false">+E7*D7</f>
        <v>31.44</v>
      </c>
      <c r="G7" s="120" t="n">
        <f aca="false">+F7*23</f>
        <v>723.12</v>
      </c>
      <c r="H7" s="120" t="n">
        <f aca="false">+G7*12</f>
        <v>8677.44</v>
      </c>
      <c r="I7" s="121"/>
    </row>
    <row r="8" customFormat="false" ht="14.25" hidden="false" customHeight="false" outlineLevel="0" collapsed="false">
      <c r="B8" s="116"/>
      <c r="C8" s="117">
        <v>34</v>
      </c>
      <c r="D8" s="118">
        <v>8.85</v>
      </c>
      <c r="E8" s="119">
        <v>9</v>
      </c>
      <c r="F8" s="118" t="n">
        <f aca="false">+E8*D8</f>
        <v>79.65</v>
      </c>
      <c r="G8" s="120" t="n">
        <f aca="false">+F8*23</f>
        <v>1831.95</v>
      </c>
      <c r="H8" s="120" t="n">
        <f aca="false">+G8*12</f>
        <v>21983.4</v>
      </c>
      <c r="I8" s="121"/>
    </row>
    <row r="9" customFormat="false" ht="14.25" hidden="false" customHeight="false" outlineLevel="0" collapsed="false">
      <c r="B9" s="116"/>
      <c r="C9" s="122">
        <v>34</v>
      </c>
      <c r="D9" s="118">
        <v>10.47</v>
      </c>
      <c r="E9" s="119">
        <v>15</v>
      </c>
      <c r="F9" s="118" t="n">
        <f aca="false">+E9*D9</f>
        <v>157.05</v>
      </c>
      <c r="G9" s="120" t="n">
        <f aca="false">+F9*23</f>
        <v>3612.15</v>
      </c>
      <c r="H9" s="120" t="n">
        <f aca="false">+G9*12</f>
        <v>43345.8</v>
      </c>
      <c r="I9" s="121"/>
    </row>
    <row r="10" customFormat="false" ht="14.25" hidden="false" customHeight="false" outlineLevel="0" collapsed="false">
      <c r="B10" s="123"/>
      <c r="C10" s="124" t="s">
        <v>699</v>
      </c>
      <c r="D10" s="125" t="n">
        <f aca="false">SUM(D3:D9)</f>
        <v>40.82</v>
      </c>
      <c r="E10" s="126" t="n">
        <f aca="false">SUM(E3:E9)</f>
        <v>53</v>
      </c>
      <c r="F10" s="125" t="n">
        <f aca="false">SUM(F3:F9)</f>
        <v>362.66</v>
      </c>
      <c r="G10" s="127" t="n">
        <f aca="false">SUM(G3:G9)</f>
        <v>8341.18</v>
      </c>
      <c r="H10" s="127" t="n">
        <f aca="false">SUM(H3:H9)</f>
        <v>100094.16</v>
      </c>
      <c r="I10" s="128">
        <v>32400</v>
      </c>
    </row>
    <row r="11" customFormat="false" ht="35.05" hidden="false" customHeight="false" outlineLevel="0" collapsed="false">
      <c r="B11" s="129" t="s">
        <v>700</v>
      </c>
      <c r="C11" s="130">
        <v>13</v>
      </c>
      <c r="D11" s="118">
        <v>4.62</v>
      </c>
      <c r="E11" s="119">
        <v>51</v>
      </c>
      <c r="F11" s="131" t="n">
        <f aca="false">+E11*D11</f>
        <v>235.62</v>
      </c>
      <c r="G11" s="131" t="n">
        <f aca="false">+F11*23</f>
        <v>5419.26</v>
      </c>
      <c r="H11" s="131" t="n">
        <f aca="false">+G11*12</f>
        <v>65031.12</v>
      </c>
      <c r="I11" s="132" t="s">
        <v>701</v>
      </c>
    </row>
    <row r="12" customFormat="false" ht="14.25" hidden="false" customHeight="false" outlineLevel="0" collapsed="false">
      <c r="B12" s="133"/>
      <c r="C12" s="134" t="s">
        <v>699</v>
      </c>
      <c r="D12" s="125" t="n">
        <f aca="false">D11</f>
        <v>4.62</v>
      </c>
      <c r="E12" s="135" t="n">
        <f aca="false">E11</f>
        <v>51</v>
      </c>
      <c r="F12" s="125" t="n">
        <f aca="false">F11</f>
        <v>235.62</v>
      </c>
      <c r="G12" s="125" t="n">
        <f aca="false">G11</f>
        <v>5419.26</v>
      </c>
      <c r="H12" s="125" t="n">
        <f aca="false">H11</f>
        <v>65031.12</v>
      </c>
      <c r="I12" s="136">
        <v>25000</v>
      </c>
    </row>
    <row r="13" customFormat="false" ht="19.7" hidden="false" customHeight="false" outlineLevel="0" collapsed="false">
      <c r="B13" s="133"/>
      <c r="C13" s="134" t="s">
        <v>702</v>
      </c>
      <c r="D13" s="125" t="n">
        <f aca="false">+D12+D10</f>
        <v>45.44</v>
      </c>
      <c r="E13" s="135" t="n">
        <f aca="false">+E10+E12</f>
        <v>104</v>
      </c>
      <c r="F13" s="125" t="n">
        <f aca="false">+F10+F12</f>
        <v>598.28</v>
      </c>
      <c r="G13" s="125" t="n">
        <f aca="false">+G10+G12</f>
        <v>13760.44</v>
      </c>
      <c r="H13" s="125" t="n">
        <f aca="false">+H10+H12</f>
        <v>165125.28</v>
      </c>
      <c r="I13" s="137" t="n">
        <f aca="false">+I10+I12</f>
        <v>57400</v>
      </c>
    </row>
  </sheetData>
  <mergeCells count="2">
    <mergeCell ref="B3:B9"/>
    <mergeCell ref="I3:I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Collabora_Office/25.04.9.2$Windows_X86_64 LibreOffice_project/29b0eb8ba16f7c9f343ec5f335fd28028457dac3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2024-09-02T08:21:16Z</dcterms:created>
  <dc:creator>GALLARDO Karine</dc:creator>
  <dc:description/>
  <dc:language>fr-FR</dc:language>
  <cp:lastModifiedBy/>
  <dcterms:modified xsi:type="dcterms:W3CDTF">2026-05-11T11:19:30Z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