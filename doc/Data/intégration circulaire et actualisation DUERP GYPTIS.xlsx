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T:\Conseiller_Prevention\Dossiers CP - Tim AMABILE\Gestion des risques\DUERP\Entretien MAJ DUERP\Navire Gyptis\"/>
    </mc:Choice>
  </mc:AlternateContent>
  <xr:revisionPtr revIDLastSave="0" documentId="13_ncr:1_{2464FE0F-A91A-4EBD-8887-12D92FA8F70B}" xr6:coauthVersionLast="47" xr6:coauthVersionMax="47" xr10:uidLastSave="{00000000-0000-0000-0000-000000000000}"/>
  <bookViews>
    <workbookView xWindow="-120" yWindow="-120" windowWidth="25440" windowHeight="15270" xr2:uid="{61C76951-1A89-43DE-A25D-E5BB097BC6C9}"/>
  </bookViews>
  <sheets>
    <sheet name="Feuil4" sheetId="7" r:id="rId1"/>
    <sheet name="Circulaire 2026" sheetId="3"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5" i="3" l="1"/>
  <c r="P8" i="3"/>
  <c r="P17" i="3"/>
  <c r="P20" i="3"/>
  <c r="P25" i="3"/>
  <c r="P29" i="3"/>
  <c r="P41" i="3"/>
  <c r="P44" i="3"/>
  <c r="P49" i="3"/>
  <c r="P61" i="3"/>
  <c r="P65" i="3"/>
  <c r="P68" i="3"/>
  <c r="P73" i="3"/>
  <c r="P77" i="3"/>
  <c r="L17" i="3"/>
  <c r="O17" i="3" s="1"/>
  <c r="L70" i="3"/>
  <c r="O70" i="3" s="1"/>
  <c r="P70" i="3" s="1"/>
  <c r="L59" i="3"/>
  <c r="O59" i="3" s="1"/>
  <c r="P59" i="3" s="1"/>
  <c r="L60" i="3"/>
  <c r="O60" i="3" s="1"/>
  <c r="P60" i="3" s="1"/>
  <c r="L61" i="3"/>
  <c r="O61" i="3" s="1"/>
  <c r="L62" i="3"/>
  <c r="O62" i="3" s="1"/>
  <c r="P62" i="3" s="1"/>
  <c r="L63" i="3"/>
  <c r="O63" i="3" s="1"/>
  <c r="P63" i="3" s="1"/>
  <c r="L49" i="3"/>
  <c r="O49" i="3" s="1"/>
  <c r="L48" i="3"/>
  <c r="O48" i="3" s="1"/>
  <c r="P48" i="3" s="1"/>
  <c r="L47" i="3"/>
  <c r="O47" i="3" s="1"/>
  <c r="P47" i="3" s="1"/>
  <c r="L50" i="3"/>
  <c r="O50" i="3" s="1"/>
  <c r="P50" i="3" s="1"/>
  <c r="L42" i="3"/>
  <c r="O42" i="3" s="1"/>
  <c r="P42" i="3" s="1"/>
  <c r="L28" i="3"/>
  <c r="O28" i="3" s="1"/>
  <c r="P28" i="3" s="1"/>
  <c r="L23" i="3"/>
  <c r="O23" i="3" s="1"/>
  <c r="P23" i="3" s="1"/>
  <c r="L20" i="3"/>
  <c r="O20" i="3" s="1"/>
  <c r="L21" i="3"/>
  <c r="O21" i="3" s="1"/>
  <c r="P21" i="3" s="1"/>
  <c r="L22" i="3"/>
  <c r="O22" i="3" s="1"/>
  <c r="P22" i="3" s="1"/>
  <c r="L19" i="3"/>
  <c r="O19" i="3" s="1"/>
  <c r="P19" i="3" s="1"/>
  <c r="L3" i="3"/>
  <c r="O3" i="3" s="1"/>
  <c r="P3" i="3" s="1"/>
  <c r="L77" i="3"/>
  <c r="O77" i="3" s="1"/>
  <c r="L75" i="3"/>
  <c r="O75" i="3" s="1"/>
  <c r="P75" i="3" s="1"/>
  <c r="L55" i="3"/>
  <c r="O55" i="3" s="1"/>
  <c r="P55" i="3" s="1"/>
  <c r="L56" i="3"/>
  <c r="O56" i="3" s="1"/>
  <c r="P56" i="3" s="1"/>
  <c r="L36" i="3"/>
  <c r="O36" i="3" s="1"/>
  <c r="P36" i="3" s="1"/>
  <c r="L52" i="3"/>
  <c r="O52" i="3" s="1"/>
  <c r="P52" i="3" s="1"/>
  <c r="L53" i="3"/>
  <c r="O53" i="3" s="1"/>
  <c r="P53" i="3" s="1"/>
  <c r="L54" i="3"/>
  <c r="O54" i="3" s="1"/>
  <c r="P54" i="3" s="1"/>
  <c r="L57" i="3"/>
  <c r="O57" i="3" s="1"/>
  <c r="P57" i="3" s="1"/>
  <c r="L58" i="3"/>
  <c r="O58" i="3" s="1"/>
  <c r="P58" i="3" s="1"/>
  <c r="L76" i="3"/>
  <c r="O76" i="3" s="1"/>
  <c r="P76" i="3" s="1"/>
  <c r="L8" i="3"/>
  <c r="O8" i="3" s="1"/>
  <c r="L64" i="3"/>
  <c r="O64" i="3" s="1"/>
  <c r="P64" i="3" s="1"/>
  <c r="L65" i="3"/>
  <c r="O65" i="3" s="1"/>
  <c r="L66" i="3"/>
  <c r="O66" i="3" s="1"/>
  <c r="P66" i="3" s="1"/>
  <c r="L67" i="3"/>
  <c r="O67" i="3" s="1"/>
  <c r="P67" i="3" s="1"/>
  <c r="L68" i="3"/>
  <c r="O68" i="3" s="1"/>
  <c r="L69" i="3"/>
  <c r="O69" i="3" s="1"/>
  <c r="P69" i="3" s="1"/>
  <c r="L43" i="3"/>
  <c r="O43" i="3" s="1"/>
  <c r="P43" i="3" s="1"/>
  <c r="L44" i="3"/>
  <c r="O44" i="3" s="1"/>
  <c r="L45" i="3"/>
  <c r="O45" i="3" s="1"/>
  <c r="P45" i="3" s="1"/>
  <c r="L14" i="3"/>
  <c r="O14" i="3" s="1"/>
  <c r="P14" i="3" s="1"/>
  <c r="L4" i="3"/>
  <c r="O4" i="3" s="1"/>
  <c r="P4" i="3" s="1"/>
  <c r="L5" i="3"/>
  <c r="O5" i="3" s="1"/>
  <c r="L6" i="3"/>
  <c r="O6" i="3" s="1"/>
  <c r="P6" i="3" s="1"/>
  <c r="L7" i="3"/>
  <c r="O7" i="3" s="1"/>
  <c r="P7" i="3" s="1"/>
  <c r="L12" i="3"/>
  <c r="O12" i="3" s="1"/>
  <c r="P12" i="3" s="1"/>
  <c r="L18" i="3"/>
  <c r="O18" i="3" s="1"/>
  <c r="P18" i="3" s="1"/>
  <c r="L15" i="3"/>
  <c r="O15" i="3" s="1"/>
  <c r="P15" i="3" s="1"/>
  <c r="L16" i="3"/>
  <c r="O16" i="3" s="1"/>
  <c r="P16" i="3" s="1"/>
  <c r="L13" i="3"/>
  <c r="O13" i="3" s="1"/>
  <c r="P13" i="3" s="1"/>
  <c r="L31" i="3"/>
  <c r="O31" i="3" s="1"/>
  <c r="P31" i="3" s="1"/>
  <c r="L32" i="3"/>
  <c r="O32" i="3" s="1"/>
  <c r="P32" i="3" s="1"/>
  <c r="L33" i="3"/>
  <c r="O33" i="3" s="1"/>
  <c r="P33" i="3" s="1"/>
  <c r="L34" i="3"/>
  <c r="O34" i="3" s="1"/>
  <c r="P34" i="3" s="1"/>
  <c r="L35" i="3"/>
  <c r="O35" i="3" s="1"/>
  <c r="P35" i="3" s="1"/>
  <c r="L24" i="3"/>
  <c r="O24" i="3" s="1"/>
  <c r="P24" i="3" s="1"/>
  <c r="L25" i="3"/>
  <c r="O25" i="3" s="1"/>
  <c r="L9" i="3"/>
  <c r="O9" i="3" s="1"/>
  <c r="P9" i="3" s="1"/>
  <c r="L10" i="3"/>
  <c r="O10" i="3" s="1"/>
  <c r="P10" i="3" s="1"/>
  <c r="L11" i="3"/>
  <c r="O11" i="3" s="1"/>
  <c r="P11" i="3" s="1"/>
  <c r="L29" i="3"/>
  <c r="O29" i="3" s="1"/>
  <c r="L30" i="3"/>
  <c r="O30" i="3" s="1"/>
  <c r="P30" i="3" s="1"/>
  <c r="L27" i="3"/>
  <c r="O27" i="3" s="1"/>
  <c r="P27" i="3" s="1"/>
  <c r="L51" i="3"/>
  <c r="O51" i="3" s="1"/>
  <c r="P51" i="3" s="1"/>
  <c r="L74" i="3"/>
  <c r="O74" i="3" s="1"/>
  <c r="P74" i="3" s="1"/>
  <c r="L26" i="3"/>
  <c r="O26" i="3" s="1"/>
  <c r="P26" i="3" s="1"/>
  <c r="L46" i="3"/>
  <c r="O46" i="3" s="1"/>
  <c r="P46" i="3" s="1"/>
  <c r="L41" i="3"/>
  <c r="O41" i="3" s="1"/>
  <c r="L40" i="3"/>
  <c r="O40" i="3" s="1"/>
  <c r="P40" i="3" s="1"/>
  <c r="L39" i="3"/>
  <c r="O39" i="3" s="1"/>
  <c r="P39" i="3" s="1"/>
  <c r="L37" i="3"/>
  <c r="O37" i="3" s="1"/>
  <c r="P37" i="3" s="1"/>
  <c r="L72" i="3"/>
  <c r="O72" i="3" s="1"/>
  <c r="P72" i="3" s="1"/>
  <c r="L73" i="3"/>
  <c r="O73" i="3" s="1"/>
  <c r="L38" i="3"/>
  <c r="O38" i="3" s="1"/>
  <c r="P38" i="3" s="1"/>
  <c r="L71" i="3"/>
  <c r="O71" i="3" s="1"/>
  <c r="P71" i="3" s="1"/>
</calcChain>
</file>

<file path=xl/sharedStrings.xml><?xml version="1.0" encoding="utf-8"?>
<sst xmlns="http://schemas.openxmlformats.org/spreadsheetml/2006/main" count="688" uniqueCount="298">
  <si>
    <t>GUY.F- LE GUILLOU.R</t>
  </si>
  <si>
    <t>Irritation, brûlures, inhalations toxiques.</t>
  </si>
  <si>
    <t>Inhalation de gaz dégagé par les batteries d'accumulateurs au gel lors de contrôle des éléments (peu probable mais possible).</t>
  </si>
  <si>
    <t>Risque Chimique</t>
  </si>
  <si>
    <t>Secteur d'intervention du navire et de son équipage</t>
  </si>
  <si>
    <t>PATROUILLEUR GYPTIS</t>
  </si>
  <si>
    <t>5. NAVIRE DCS</t>
  </si>
  <si>
    <t>Écoute et communication.</t>
  </si>
  <si>
    <t>Tensions au sein de l’équipage, stress et agressivité</t>
  </si>
  <si>
    <t>Travail isolé sur sites isolés pendant de longues périodes, associé à une faible qualité des rapports sociaux, des difficultés relationnelles ou à la promiscuité.</t>
  </si>
  <si>
    <t>Risques psychosociaux (RPS)</t>
  </si>
  <si>
    <t>Cancer de la peau, brûlures, mélanomes, lésions oculaires.</t>
  </si>
  <si>
    <t>Exposition prolongée et intense au soleil (éblouissement, rayonnement solaire, réflexion sur la mer).</t>
  </si>
  <si>
    <t>Risque lié à l'ambiance thermique</t>
  </si>
  <si>
    <t>Risque lié au bruit</t>
  </si>
  <si>
    <t>Manutention et port de charges courantes</t>
  </si>
  <si>
    <t>Risque manutention manuelle</t>
  </si>
  <si>
    <t>Risque de brûlure thermique</t>
  </si>
  <si>
    <t>Contamination par ingestion accidentelle de bactéries, virus, parasites pathogènes alimentaires, lors de la prise de repas (par défaut d’hygiène : alimentaires, des locaux).</t>
  </si>
  <si>
    <t>Risque sanitaire : transmission de maladies, infections, allergies.</t>
  </si>
  <si>
    <t>Risque agression / agressivité lié au contact avec l'extérieur</t>
  </si>
  <si>
    <t>Information, respect des consignes, ventilation du local.</t>
  </si>
  <si>
    <t>Inhalation de fumées toxiques et absorption de particules de plomb._x000D_</t>
  </si>
  <si>
    <t>Entraînement au tir.</t>
  </si>
  <si>
    <t>Risque lié à la qualité de l'air</t>
  </si>
  <si>
    <t xml:space="preserve">Lésions corporelles, superficielles ou profondes. </t>
  </si>
  <si>
    <t>Douleurs dorso-lombaire, contusions, coincement, écrasement.</t>
  </si>
  <si>
    <t>Virage des engins de pêche avec vire filet.</t>
  </si>
  <si>
    <t>Risque mécanique</t>
  </si>
  <si>
    <t>Protection des organes en mouvement par des carters (dispositifs de protection) et vigilance._x000D_</t>
  </si>
  <si>
    <t>Entraînement accidentel par pièces mobiles des moteurs (courroie, arbre d’entraînement…), écrasement._x000D_</t>
  </si>
  <si>
    <t>Lors de rondes ou travail en salle des machines.</t>
  </si>
  <si>
    <t>Rupture accidentelle de canalisations en salle des machines</t>
  </si>
  <si>
    <t xml:space="preserve">Risque lié aux fluides et équipements sous-pression </t>
  </si>
  <si>
    <t>Utilisation du réseau d’air comprimé (compresseur), de laveur haute pression, rupture de flexibles de circuit hydraulique (chariot élévateur, matériel POLMAR).</t>
  </si>
  <si>
    <t>Irritation, intoxication, brûlures, inhalations toxiques._x000D_</t>
  </si>
  <si>
    <t xml:space="preserve">Lors du travail en salle des machines, présence de graisses, huiles, additif (Adblue), gas-oil (ex: lors des vidanges) salissures.
</t>
  </si>
  <si>
    <t>Apparition de troubles musculo-squelettiques et vasculaires.</t>
  </si>
  <si>
    <t xml:space="preserve">Vibrations régulièrement transmises à l’ensemble du corps du personnel </t>
  </si>
  <si>
    <t>Risque lié aux vibrations</t>
  </si>
  <si>
    <t>Risque d'affection bactériologiques.</t>
  </si>
  <si>
    <t>Remplissage des cuves eau douce par le réseau de la ville qui vient du quai.</t>
  </si>
  <si>
    <t>Lorsque un agent travaille seul pendant un certain temps, dans un environnement où il ne peut être vu et entendu directement par d’autres et où la probabilité de visite est faible (la durée d’isolement majorant le risque).</t>
  </si>
  <si>
    <t>Risque lié aux interventions isolées</t>
  </si>
  <si>
    <t>Brûlures légères à graves, dommages, lésions, décés.</t>
  </si>
  <si>
    <t>Risque explosion</t>
  </si>
  <si>
    <t>Electrocution (décés), électrisation: fibrillation, lésions internes ou externes. Brûlures par arc électrique, incendie, explosion.</t>
  </si>
  <si>
    <t>Présence ou utilisation de matériel, d’équipements ou d’installations électriques défectueux, obsolètes ou non conformes (pièces nues sous tension, défaut d’isolation, absence de mise à la terre, surcharge de multiprises ou de prolongateurs).</t>
  </si>
  <si>
    <t>Risque électrique</t>
  </si>
  <si>
    <t>Risque de noyade</t>
  </si>
  <si>
    <t>Risque d'asphyxie</t>
  </si>
  <si>
    <t>Incendie d’origine électrique (court-circuit, surcharge, défaillance, foudre)</t>
  </si>
  <si>
    <t>Risque Incendie</t>
  </si>
  <si>
    <t>Brûlures/blessures...</t>
  </si>
  <si>
    <t>Risque d’explosion lié aux batteries (court-circuit / hydrogène)</t>
  </si>
  <si>
    <t>Brûlures/blessures et sauvegarde du navire</t>
  </si>
  <si>
    <t>Risque d’explosion de munitions ou armes stockées à bord</t>
  </si>
  <si>
    <t>Risque chimique lié à l'utilisation de produits CMR</t>
  </si>
  <si>
    <t>- Lésions corporelles, décès, 
- pathologies liées à la consommation de ces substances,
- affections psychiques,
- Tabagisme : maladies, cancers, insuffisance respiratoire.</t>
  </si>
  <si>
    <t>- Consommation de substances psychoactives pouvant altérer les facultés physiques et psychiques de l’individu et entraîner des accidents du travail ou de circulation (manque de vigilance, perte d’équilibre, diminution des réflexes, effet désinhibant conduisant à la prise de risque).
- Tabagisme et vapotage actif, passif.</t>
  </si>
  <si>
    <t>Risque lié à l'alcool, drogues, médicaments, tabac.</t>
  </si>
  <si>
    <t>Relations conflictuelles avec le public (agressions verbales ou physiques)</t>
  </si>
  <si>
    <t>Troubles physiques, psychologiques : surcharge mentale, stress, dépression nerveuse, psychopathologies.</t>
  </si>
  <si>
    <t>Dysfonctionnements organisationnels et relationnels : surcharge ou intensité du travail, manque d’autonomie ou de moyens, pression liée aux objectifs, fragilité du dimensionnement du service (fonctionnement en mode dégradé), relations difficiles avec le public ou la hiérarchie, et mauvaise qualité des rapports sociaux.</t>
  </si>
  <si>
    <t>Infections (intoxication) alimentaires.</t>
  </si>
  <si>
    <t>Infection bénigne à grave.</t>
  </si>
  <si>
    <t>Leptospirose* contractée en général lors d’une activité en relation avec un environnement contaminé : eaux , animaux porteurs, déjections de rongeurs, lieux humides.
*maladie bactérienne qui se transmet par contact avec les muqueuses (oeil, bouche, nez...) ou des plaies/égratignures.</t>
  </si>
  <si>
    <t>-Gène, affection respiratoire, maux de têtes, vomissements,
-Développement de cancer possible.</t>
  </si>
  <si>
    <t>Pollution atmosphérique en constante évolution contenant divers polluants pouvant être à l’origine d’effets sur la santé, sur certains sites le phénomène est accentué par le rejet des navires, le trafic routier dense et les industries environnantes. Interactions possibles entre polluants chimiques, pollens et température.</t>
  </si>
  <si>
    <t>Protection de la peau à l'aide de crème écran total, port d'une casquette, lunettes protection UV conformes et adaptées.</t>
  </si>
  <si>
    <t>Hypothermie, lésions cérébrales, pulmonaires, problèmes cardiaques, décès.</t>
  </si>
  <si>
    <t>Asphyxie et autres dommages liés à l’excès de CO (monoxyde de carbone).</t>
  </si>
  <si>
    <t>Atmosphères dangereuses en espaces clos / navires / volumes confinés</t>
  </si>
  <si>
    <t>Mise à l’eau, embarquement ou débarquement de moyens nautiques</t>
  </si>
  <si>
    <t>Risque manutention mécanique et au levage</t>
  </si>
  <si>
    <t>Douleurs dorso-lombaire, tendinites, contusions, coincement, écrasement._x000D_</t>
  </si>
  <si>
    <t>Au besoin dotation en harnais de force (prévention protection lombaires) voir avec le CP.</t>
  </si>
  <si>
    <t>Information, respect des consignes (surveillance mutuelle), port des EPI</t>
  </si>
  <si>
    <t>Douleurs dorso-lombaire, coincement, écrasement, entraînement accidentel.</t>
  </si>
  <si>
    <t>Manutention de lignes, aussières, chaînes, câbles ou matériels lors des opérations d’amarrage/largage, de mouillage/relevage et de remorquage/prise de remorque.</t>
  </si>
  <si>
    <t>Risque lié aux postures de travail</t>
  </si>
  <si>
    <t>Douleurs musculaires, lombalgies, traumatismes articulaires (genoux, hanches)._x000D_</t>
  </si>
  <si>
    <t xml:space="preserve">Mouvements répétés et parfois violents du navire/annexe imposés par les mouvements de la mer : roulis ou tangage
</t>
  </si>
  <si>
    <t>Information, respect des consignes, port des EPI, surveillance de l’état du matériel.</t>
  </si>
  <si>
    <t>Incendie lors de travaux par points chauds</t>
  </si>
  <si>
    <t>Interventions, opérations d’entretien ou de maintenance (charge, contrôle, connexions, déconnexions, remplacement, manutention) sur des installations ou équipements électriques basse tension, y compris les sources autonomes (groupes électrogènes, onduleurs, batteries stationnaires, panneaux photovoltaïques).</t>
  </si>
  <si>
    <t>Brûlures superficielles ou profondes, lésions oculaires</t>
  </si>
  <si>
    <t>Lors de travaux d'entretien, maintenance, soudage, coups d'arc, piquage, meulage, tronçonnage : projection de particules._x000D_</t>
  </si>
  <si>
    <t>Préparation ou réchauffage des repas : utilisation d’éléments chauffants (fours, friteuses, plaques de cuisson, grills…).</t>
  </si>
  <si>
    <t>Fatigue, anxiété, désengagement social, troubles du sommeil, stress post-traumatique, tachycardie, sueurs, tremblements, crises, atteintes somatiques, angoisse, cauchemars, désinvestissement, absentéisme, isolement, perte de productivité, conflits avec les agents et troubles de la concentration, gestes suicidaires.</t>
  </si>
  <si>
    <t>Harcèlement moral, sexuel, agissements sexistes, discrimination, situations de violences verbales, physiques, sexuelles.</t>
  </si>
  <si>
    <t>Tétanos, infections, cas rare mais pouvant être mortel.</t>
  </si>
  <si>
    <t>Manutention de métaux rouillés, de bois (échardes).</t>
  </si>
  <si>
    <t>Cancer, altérations génétiques héréditaires, altérations de la fertilité.</t>
  </si>
  <si>
    <t>Lors de travaux d'entretien et de maintenance courante et lors de l'arrêt technique du PAM : Inhalation, contact cutané, ingestion accidentelle de produits CMR dû à de mauvaises conditions de protection, de traitement/manipulation, de stockage, de transport ou d’élimination (solvants, certaines peintures, hydrocarbures, GASOIL…). 
- Exposition aux hydrocarbures (tous types de moteurs thermiques) : stockage, transport, manipulation de carburant._x000D_</t>
  </si>
  <si>
    <t>- Symptômes respiratoires, (asthme, allergies).
- Maladies, infections et intoxications, réactions allergiques, cutanées.
- Transmissibilité à l'homme de différentes formes de virus (Grippe, Covid..), de bactéries, de champignons, de parasites.</t>
  </si>
  <si>
    <t xml:space="preserve">Blessures physiques ou psychiques des personnes concernées. </t>
  </si>
  <si>
    <t>Information, respect des consignes, vigilance, port des EPI.</t>
  </si>
  <si>
    <t>Tous dommages liés au heurt par une masse en mouvement.</t>
  </si>
  <si>
    <t>Risques de collision avec un engin de manutention lors des contrôles sur les navires (panneau chalutiers, chariot élévateurs) ou les structures à terre.</t>
  </si>
  <si>
    <t>Lors de ronde/travail en salle des machines, à proximité d’éléments chauds, rupture de tuyauteries.</t>
  </si>
  <si>
    <t>Irritation, intoxication, inhalations toxiques, infection, brûlure chimique, allergies.</t>
  </si>
  <si>
    <t>La contamination bactérienne par les  voies respiratoires provoque la légionellose (pneumopathie pouvant  laisser des séquelles graves sur les plans cardiaques, respiratoires et musculaires et entraîner le décès).</t>
  </si>
  <si>
    <t>Lors d’inhalation d’aérosols émis par  la vapeur d’eau chaude sanitaire  contaminée par des légionelles* au  points d’usages. 
* Le risque de prolifération de la  bactérie légionella pneumophila  favorisé par une température de  l’eau de 25° à 43° (installations d’eau  chaude sanitaire, réserve stagnante, cumulus peu utilisés, bras morts).</t>
  </si>
  <si>
    <t>Surveillance visuelle et par l'intermédiaire de caméras, port chaussures à semelles antidérapantes et du gilet auto-gonflant, respect de l’ordre de service, signalement début et fin de ronde auprès du chef de quart, harnais et ligne de vie.</t>
  </si>
  <si>
    <t>Tous ceux liés au fait que l’agent ne dispose pas de la possibilité de recours en cas d’aléas, d’accident ou de malaise (les risques sont cumulés lors de cette activité).</t>
  </si>
  <si>
    <t>Tous dommages liés au heurt par une masse en mouvement (annexe, grue, croc)</t>
  </si>
  <si>
    <t>Observation</t>
  </si>
  <si>
    <t>Retour d'action</t>
  </si>
  <si>
    <t>Échéance</t>
  </si>
  <si>
    <t>Mesures A proposer</t>
  </si>
  <si>
    <t>Priorité finale 2</t>
  </si>
  <si>
    <t>Calcul priorité</t>
  </si>
  <si>
    <t>Moyen de Maitrise</t>
  </si>
  <si>
    <t>Mesure Existante</t>
  </si>
  <si>
    <t>Priorité initiale</t>
  </si>
  <si>
    <t>Gravité</t>
  </si>
  <si>
    <t>Fréquence</t>
  </si>
  <si>
    <t>Responsable</t>
  </si>
  <si>
    <t>Dommage</t>
  </si>
  <si>
    <t>Situation dangereuse</t>
  </si>
  <si>
    <t xml:space="preserve">Risque </t>
  </si>
  <si>
    <t>Numéro risque</t>
  </si>
  <si>
    <t>Site</t>
  </si>
  <si>
    <t>Service</t>
  </si>
  <si>
    <t xml:space="preserve">Unité </t>
  </si>
  <si>
    <t xml:space="preserve">Identification Risque </t>
  </si>
  <si>
    <t>Dernière MAJ</t>
  </si>
  <si>
    <t>Situation pouvant entraîner un risque physique et psychique lié au contact avec des embarcations, des personnes en danger, parfois en situation de tension, et/ou au contact avec des cadavres.</t>
  </si>
  <si>
    <t>?</t>
  </si>
  <si>
    <t>Lésions corporelles de légères à graves.</t>
  </si>
  <si>
    <t xml:space="preserve">Prévenir les autorités en cas de dégradation </t>
  </si>
  <si>
    <t>Déplacement à bord, rondes, travaux d'entretien et de maintenance…</t>
  </si>
  <si>
    <t>*Débarquement/embarquement depuis un ponton
*Débarquement/embarquement sur les semi-rigides</t>
  </si>
  <si>
    <t>Risque chutes de plain-pied</t>
  </si>
  <si>
    <t>Risque chutes de hauteur</t>
  </si>
  <si>
    <t>Utilisation des échelles
Embarquement/débarquement/accostage des navires contrôlés - utilisation des échelles de quai</t>
  </si>
  <si>
    <t>Risque chute d'objet</t>
  </si>
  <si>
    <t>En cas de mouvements répétés et parfois violents du navire/annexe imposés par les mouvements de la mer : roulis ou tangage</t>
  </si>
  <si>
    <t xml:space="preserve">Situation de forte chaleur (canicule) </t>
  </si>
  <si>
    <t>Déshydratation, fatigue, malaises, coup de chaleur (risque vital), aggravation de pathologies ; baisse de vigilance entraînant un risque accru d’accidents ; diminution des performances et absentéisme.</t>
  </si>
  <si>
    <t>Situation de basse température</t>
  </si>
  <si>
    <t>Engelures, gerçures, hypothermie</t>
  </si>
  <si>
    <t>Environnement bruyant lors des rondes en salle des machines et bruit ambiant sur l'ensemble du navire
Environnement bruyant lors d'entraînement au tir</t>
  </si>
  <si>
    <t>Hypoacousie de perception par lésion cochléaire irréversible, accompagnée ou non 
d’acouphènes.</t>
  </si>
  <si>
    <t>Risque lié aux travaux en milieu hyperbare</t>
  </si>
  <si>
    <t>Activités de plongées hyperbares lors des missions subaquatiques
Gonflage des bouteilles de plongée</t>
  </si>
  <si>
    <t>Barotraumatismes, accidents de décompression, accidents biochimiques. 
Atteintes cutanées. 
Atteinte neurologique. Décès.
Mauvaise qualité de l'air, intoxication, étouffement.</t>
  </si>
  <si>
    <t>Postures contraignantes lors des travaux d'entretien ou de maintenance agravées ou induites par les mouvements répétés et parfois violents du navire/annexe imposés par les mouvements de la mer</t>
  </si>
  <si>
    <t>Faux mouvements, lésions périarticulaires, douleurs dorso-lombaire, tendinites, maladies professionnelle.</t>
  </si>
  <si>
    <t>Mouillage/relevage de l'ancre</t>
  </si>
  <si>
    <t>Coincement, écrasement, entraînement accidentel par les pièces en mouvement, projection 
de poussière dans les yeux.</t>
  </si>
  <si>
    <t>Utilisation de lance-amarres, signaux de détresse</t>
  </si>
  <si>
    <t>Absence de suivi de traitement des déchets dangereux &amp; des déchets POP (Polluants 
Organiques Persistants)</t>
  </si>
  <si>
    <t>Déchets pouvant génerer une nuisance à l'Homme et/oùl'environnement selon les élements composants le produit.</t>
  </si>
  <si>
    <t>Lors de travaux d'entretien et maintenance, nettoyage des locaux : Inhalation, contact cutané, ingestion accidentelle de produits toxiques* dû à de mauvaises conditions de protection, de traitement/manipulation, de stockage, de transport ou d’élimination.</t>
  </si>
  <si>
    <t>Port des EPI</t>
  </si>
  <si>
    <t>Exposition à des agents infectieux (bactéries*, virus*, champignons,parasites) ou allergènes (pollens, insectes..), transmis par contact avec l’environnement, les gens, les animaux, les insectes, la végétation (exemple lors de contact avec des personnes contaminées, des insectes, moisissures, animaux morts, des éléments souillés : poignée de porte, détritus divers, matières fécales).</t>
  </si>
  <si>
    <t>Gène, affection respiratoire, maux de têtes, vomissements, développement de cancer 
possible.</t>
  </si>
  <si>
    <t>Exposition aux gaz d’échappement des moteurs diesel de propulsion lors de
manœuvres au port ou de la navigation en mer</t>
  </si>
  <si>
    <t>Actualisé avec le plan d'action RPS</t>
  </si>
  <si>
    <t>Braquage, vol d'armes et munitions</t>
  </si>
  <si>
    <t>Agression physique, blessure par balle.</t>
  </si>
  <si>
    <t>Risque migrant</t>
  </si>
  <si>
    <t>Situations de stress et de tension engendrées par le port d'arme</t>
  </si>
  <si>
    <t>Embarquement/débarquement depuis un ponton
Récupération d'hommes à la mer (ex : intervention sur un sauvetage) à partir de l'embarcation principale ou l'annexe
Embarquement/débarquement/accostage des navires contrôlés - utilisation des échelles de quai
Opérations de contrôle : utilisation de l'annexe, utilisation d’échelle de quai ou accostage
Lors des différentes manœuvres et opérations sur aires de manœuvres
Voie d'eau (abordage, collision avec élément extérieur sur coque ou rupture de vanne)
Collision avec d'autres navires, submersion du navire</t>
  </si>
  <si>
    <t>Risque d’être percuté lors des plongées sous-marines</t>
  </si>
  <si>
    <t>Dommages corporels importants : fractures, coupures, mutilations, décès</t>
  </si>
  <si>
    <t>Risque port d'arme</t>
  </si>
  <si>
    <t>Tir accidentel de l'arme lors de la séance de tir ou ricochet du projectile
Déclenchement accidentel de l'arme lors de la mise en service ou désarmement de l’arme</t>
  </si>
  <si>
    <t>Blessures par balle ou ricochet, lésion oreilles, projection de poudres sur les mains (poudre 
toxique)</t>
  </si>
  <si>
    <t xml:space="preserve">Voir la "note technique relative à l'armement au sein des unités du dispositif de contrôle et de surveillance des affaires maritimes" </t>
  </si>
  <si>
    <t>Risque Amiante</t>
  </si>
  <si>
    <t>Inhalation accidentelle de fibres d’amiante en suspension dans l’atmosphère, due :
à la présence de matériaux et produits contenant de l’amiante (MPCA) friables ou dégradés dans les locaux, bâtiments, ou équipements non diagnostiqués (défaut ou absence de DTA), y compris à bord de navires ou sur sites déportés ;
à l’intervention malencontreuse d’un agent ou d’un tiers sur des MPCA par manque d’identification, d’information ou de signalisation préalable.</t>
  </si>
  <si>
    <t>Pathologies liées à l’amiante (asbestose, cancer du poumon, mésothéliome.), plaques pleurales.</t>
  </si>
  <si>
    <t>Risque Rayonnement Optiques Artificiels: DEL/Eclairage à forte luminance/Laser</t>
  </si>
  <si>
    <t>Projecteurs LED ponts à forte luminance.</t>
  </si>
  <si>
    <t>Conséquences d'un éblouissement (chute, trébuchement, manque de vigilance temporaire...)</t>
  </si>
  <si>
    <t>Risque lié à l'utilisation de produits pyrotechniques</t>
  </si>
  <si>
    <t>Manipulation de fusées de détresse , de lance amarres, stockage anarchique à proximité de points chauds</t>
  </si>
  <si>
    <t>Brûlures, lésions graves à légères.</t>
  </si>
  <si>
    <t>Risque lié à la manipulation d'outils</t>
  </si>
  <si>
    <t>Utilisation d’outillage manuel ou électroportatif lors de différents travaux</t>
  </si>
  <si>
    <t>Coupures, contusions, écrasement, lésion de la peau, atteintes oculaires.</t>
  </si>
  <si>
    <t>Utilisation d’ustensiles, électroménager de cuisine mécanique, tranchants..</t>
  </si>
  <si>
    <t>Coupures, lésions.</t>
  </si>
  <si>
    <t>Lors de l’utilisation d’armes à feu sur stand de tir agréé sous convention.</t>
  </si>
  <si>
    <t>Dommages liés au maniement des armes : brûlures, blessure par balle, lésion oculaires, décès._x000D_</t>
  </si>
  <si>
    <t>Suivi du stock et enlèvement fusées périmées, information, respect des consignes, port des EPI.</t>
  </si>
  <si>
    <t>Port des EPI recommandés sur les notices fabricants, respect des consignes d’utilisation._x000D_</t>
  </si>
  <si>
    <t>Information, respect de la note tchnique du 6 septembre 2019 relative à l'armement au sein des unités du dispositif de surveillance et de contrôle des affaires maritimes, port des EPI.</t>
  </si>
  <si>
    <t>Risque lié aux rayonnements ionisants et non ionisants (électromagnétiques)</t>
  </si>
  <si>
    <t>Exposition aux champs électromagnétiques haute fréquence</t>
  </si>
  <si>
    <t>Possibilité d’effets à long terme et aléatoires.</t>
  </si>
  <si>
    <t>Radar stoppées avant accès sur le toit de la timonerie</t>
  </si>
  <si>
    <t>Risque lié à l'éclairage</t>
  </si>
  <si>
    <t>Déplacements ou travail dans une zone mal éclairée.</t>
  </si>
  <si>
    <t>Lésions corporelles de graves à légères et dommages liés à une chute à la mer.</t>
  </si>
  <si>
    <t>Lampe de poche (frontale à privilégier) avec piles de remplacement (indispensable dans la dotation).</t>
  </si>
  <si>
    <t>Risque lié au travail sur écran</t>
  </si>
  <si>
    <t>Travailler sur un écran plusieurs heures au cours de la journée, avec une mauvaise ergonomie du poste de travail.</t>
  </si>
  <si>
    <t>- Fatigue visuelle (maux de tête, picotements, rougeurs et lourdeur des globes oculaires, assèchement de l’œil).
- Troubles musculo-squelettiques ( poignets, nuque, épaules, région lombaire)</t>
  </si>
  <si>
    <t>Risque lié aux conditions de travail particulières (horaires décalés, astreinte..)</t>
  </si>
  <si>
    <t>Horaires décalés, ou atypiques, Éloignement en mer Mission à l'étranger</t>
  </si>
  <si>
    <t>Accidents, traumatisme corporel, risque psychologique.</t>
  </si>
  <si>
    <t>Risque hyperbare lors de plongée d’entraînement ou d'intervention</t>
  </si>
  <si>
    <t>Ostéonécrose aseptique, otite, hypoacousie, embolie gazeuse traumatique, prurits, maladies de décompression, hypothermie, noyade.</t>
  </si>
  <si>
    <t>Pauses régulières, alternance des tâches.</t>
  </si>
  <si>
    <t>Etude de l'ergonomie des postes de travail sur écran au besoin.</t>
  </si>
  <si>
    <t>Un complément en RIFAP est prévu pour assurer l’équipe de plongée.</t>
  </si>
  <si>
    <t>Risque lié à la co-activité et à l'intervention d'entreprises extérieures</t>
  </si>
  <si>
    <t>- Absences de mesures de protections pour prévenir les risques liés aux interférences engendrées par la co-activité sur un même site (ex : intervention des entreprises de nettoyage sans plan de prévention : sols glissants, stockages et utilisation de produits ménagers présentant des risques, mélanges de produits).
- Interférence des activités lors d’intervention ou de travaux (non évalués) effectués à proximité et/ou dans les locaux administratifs par des entreprises extérieures.</t>
  </si>
  <si>
    <t>Tous types de dommages liés à la nature de la catastrophe ou l'événement</t>
  </si>
  <si>
    <t>Risque lié à la présence d'animaux</t>
  </si>
  <si>
    <t>Présence d’animaux à bord de navire.</t>
  </si>
  <si>
    <t>Risque morsure, blessure, griffure, coupure. Transmission de maladies infectieuses.</t>
  </si>
  <si>
    <t>Contact avec des espèces de poissons dangereuses lors des contrôles sur les navires ou dans les GMS.</t>
  </si>
  <si>
    <t>Morsure, piqûre, blessure, griffure, coupure, transmission de maladies infectieuses._x000D_</t>
  </si>
  <si>
    <t>Risque routier</t>
  </si>
  <si>
    <t>- Accident de trajet ou de mission lié à la fréquence et à la longueur des déplacements (particulièrement lors de déplacements pour entraide Sète et Port de Bouc A/R).
- Transport de matériel (remorque double essieu 3,5T).
- Risque accentué par la fatigue, la prise d’alcool ou de médicaments, l’état du véhicule et la météo.
Pour rappel (cf. R.21 risque de chute d’objets) : Le déplacement intempestif d’une charge mal arrimée dans l‘habitacle peut entraîner une perte de contrôle du véhicule.</t>
  </si>
  <si>
    <t>Lésions corporelles légères à graves ou décès_x000D_</t>
  </si>
  <si>
    <t>Trajet véhicule personnel domicile travail A/R, risque d’accident de la circulation accentué par la fatigue, la prise d’alcool ou de certains médicaments et l’état du véhicule.</t>
  </si>
  <si>
    <t>Information sur les risques pouvant interférer chaque activité EE/EU, inspections communes au préalable, rédaction d’un permis de travail dangereux avant toute activité dangereuse (travaux : en hauteur/par point chaud/électrique/en espace clos)</t>
  </si>
  <si>
    <t>Utilisation de gaz incapacitant.</t>
  </si>
  <si>
    <t xml:space="preserve">Respect des temps de repos, rythmes de travail. </t>
  </si>
  <si>
    <t>Un PPRR doit être établit à l’échelle de la DIRM Med.</t>
  </si>
  <si>
    <t>Risque de force majeure</t>
  </si>
  <si>
    <t xml:space="preserve">Les cas de force majeure sont des situations imprévisibles qui échappent au contrôle des personnes et sont par nature inévitables : risques naturel (feu de forêt, séisme.., événement climatique exceptionnel : canicule, inondation…), risques technologiques (industriel, transport de matières dangereuses...) &amp; d'autres risques (risque terroriste..) </t>
  </si>
  <si>
    <t>Lavage des mains pour se décontaminer et éviter de contaminer les autres.
Maintenance, manutention et remplacement des batteries/accus (travaux sous tension) réalisés par un prestataire sous contrat.</t>
  </si>
  <si>
    <t>Information, permis de travail dangereux, respect des consignes, port des EPI.</t>
  </si>
  <si>
    <t>Information, respect des consignes, port des EPI.</t>
  </si>
  <si>
    <t>&gt; Attestation du 25/04/2022 du chargé d’affaires Océa (constructeur du navire), certifiant l’absence d’amiante dans l’ensemble du patrouilleur, conformément à la convention SOLAS qui interdit l’usage de l’amiante dans la construction navale à partir du 01/07/2002.
&gt; Lors des contrôles : demande du dossier technique amiante existant.</t>
  </si>
  <si>
    <t>&gt; Informations accessibles sur la plateforme TRACKDÉCHETS, conformément au décret 2021-321 relatif à la traçabilité des déchets dangereux, applicable au 1er janvier 2022.
&gt; Lien : https://trackdechets.beta.gouv.fr/</t>
  </si>
  <si>
    <t>&gt; Collecte et lecture des fiches de données de sécurité (FDS) : port des EPI recommandés, respect des consignes et vérification des compatibilités de stockage, recherche de produits de substitution.
&gt; Lavage des mains pour se décontaminer et éviter de contaminer les autres.
&gt; Collecte et lecture des fiches de données de sécurité (FDS) : port des EPI recommandés, respect des consignes et vérification des compatibilités de stockage, recherche de produits de substitution, pour intégration dans le FPE --&gt; contrôlé lors des visites de sécurité.</t>
  </si>
  <si>
    <t>&gt; Collecte et lecture des fiches de données de sécurité (FDS) : identification des divers dangers, port des EPI recommandés, respect des consignes et vérification des compatibilités de stockage.
&gt; Lavage des mains pour se décontaminer et éviter de contaminer les autres.</t>
  </si>
  <si>
    <t>&gt; Respect des consignes, port des EPI (ex. : gants anti-chaleur) indiqués sur les notices/manuels d’utilisation des fabricants d’équipements.
&gt; Utilisation des systèmes anti-roulis.
&gt; Extincteur et couverture anti-feu à proximité.
&gt; Installation de barrière de sécurité</t>
  </si>
  <si>
    <t>&gt; Information, respect des consignes, port des EPI.
&gt; Parties chaudes calorifugées.
&gt; Danger : points chauds ; maintien en état des calorifuges.</t>
  </si>
  <si>
    <t>&gt; Remplir un permis de travail dangereux avant de travailler sur une installation électrique.
&gt; Maintenance, manutention et remplacement des batteries/accus (travaux sous tension) réalisés par un prestataire sous contrat.
&gt; La connectique des 6 panneaux photovoltaïques (sources d’énergie autonomes) est conforme, nettoyage sans risque.
&gt; Les agents réalisant des interventions électriques doivent être habilités et porter leurs EPI lors des opérations (en complément, une instruction permanente de sécurité peut faire l’objet d’un affichage).
&gt; Manutention uniquement sur bornes vérifiées par VAT.
&gt; Mise en place de cadenas et équipements électriques consignés.</t>
  </si>
  <si>
    <t>Réglettes d’éclairage intermédiaires (indirectes) installées en parties basses sur ponts.</t>
  </si>
  <si>
    <t>&gt; Vérification visuelle de l’état du matériel électrique.
&gt; Acquisition de matériel conforme à la norme en vigueur, respect de la puissance maximale indiquée sur les prolongateurs et multiprises.
&gt; Maintenance périodique des installations électriques.
&gt; Remplir un permis de travail dangereux avant de travailler sur une installation électrique.
&gt; Maintien des portes des tableaux et coffrets en position fermée.
&gt; Habilitation électrique de tous les agents en lien avec leur fonction à bord du PAM.
&gt; Suivi de la maintenance périodique et de la vérification du matériel normalisé.
&gt; Opérations possibles sur batteries/accus par un chargé d’intervention (BR) :
=&gt; Connexion/déconnexion circuit ouvert (hors charge),
=&gt; Manutention uniquement sur bornes protégées contre les contacts directs.</t>
  </si>
  <si>
    <t>&gt; Information, exercices incendie réguliers.
&gt; Conditionnement en armoire</t>
  </si>
  <si>
    <t>&gt; Maintien des portes (local batteries) fermées.
&gt; Ne pas porter d’éléments conducteurs (bracelet, montre, bague…).
&gt; Laisser reposer après la charge avant transport.
&gt; Charge dans un local suffisamment ventilé (voir normes et recommandations fabricant, FDS).
&gt; Outils de connexion isolés (clés, tournevis).</t>
  </si>
  <si>
    <t>&gt; Respect et maintien de la conformité incendie, information, respect des consignes.
&gt; Remplir un permis de travail dangereux.
&gt; Extincteur à proximité.
&gt; Entraînement à la lutte contre le feu (exercice incendie).</t>
  </si>
  <si>
    <t>&gt; Connexion/déconnexion circuit ouvert (hors charge).
&gt; Manutention uniquement sur bornes protégées contre les contacts directs.
&gt; Ne pas porter d’éléments conducteurs (bracelet, montre, bague…).
&gt; Charge dans un local suffisamment ventilé.
&gt; Outils de connexion isolés (clés, tournevis).
&gt; Vérification visuelle de l’état du matériel électrique (ex. : prolongateurs) avant usage, signalement de l’état du matériel endommagé à la hiérarchie et remplacement.
&gt; Acquisition de matériel conforme à la norme en vigueur, respect de la puissance maximale indiquée sur les prolongateurs et multiprises.
&gt; Maintenance périodique des installations électriques.
&gt; Maintien des portes des tableaux et coffrets en position fermée.</t>
  </si>
  <si>
    <t>&gt; Respect des consignes, port d’EPI.
&gt; Utilisation des systèmes anti-roulis.</t>
  </si>
  <si>
    <t>&gt; Adapter autant que faire se peut la vitesse et la route du navire/annexe.
&gt; Fauteuils « suspendus » en passerelle.</t>
  </si>
  <si>
    <t>&gt; Information, respect des consignes, port des EPI.
&gt; Fractionnement des charges dans la mesure du possible.</t>
  </si>
  <si>
    <t>&gt; Information, respect des consignes, port des EPI.
&gt; Zonage</t>
  </si>
  <si>
    <t>&gt; Information, respect des consignes, port des EPI.
&gt; Surveillance mutuelle.</t>
  </si>
  <si>
    <t>&gt; Espaces clos repérés et fermés, respect des consignes, permis de travail dangereux.
&gt; Avant opérations de visite des espaces clos : ventilation, contrôle des teneurs en monoxyde de carbone, balisage.
&gt; Pendant les opérations de visite des espaces clos : conserver la ventilation, surveillant extérieur, limitation de la durée.</t>
  </si>
  <si>
    <t>&gt; Utilisation des systèmes anti-roulis.
&gt; Stockage organisé (calage, pas de charge en hauteur).
&gt; Adaptation de la mission aux conditions météorologiques.</t>
  </si>
  <si>
    <t>&gt; Respect des consignes d’intervention.
&gt; Port des EPI contre la noyade (VFI, gilet, …).
&gt; Balise de Localisation Personnelle (BLP).
&gt; Adaptation de la mission aux conditions météorologiques.
&gt; Maintien en état de conformité du navire, formation du personnel de quart passerelle.
&gt; Exercices réguliers : environ 3 exercices par an.
&gt; Suivi de la formation CFBS (recyclage tous les 5 ans).
&gt; Tableau de suivi des exercices réalisés.</t>
  </si>
  <si>
    <t>&gt; Climatisation
&gt; Brumisateur
&gt; Lunette de soleil
&gt; Casquette
&gt; Sélection des horaires d'intervention</t>
  </si>
  <si>
    <t>&gt; Ports de vêtements de travail adaptés fournis par le service : bonnet, veste, gants.
&gt; Dispositions adaptées en fonction des conditions climatiques.</t>
  </si>
  <si>
    <t>&gt; Information aux agents.
&gt; Révision périodique des moteurs.
&gt; MPX et GE conformes à la norme IMO Tier III.</t>
  </si>
  <si>
    <t>&gt; Utilisation d'un carburant pauvre en soufre. 
&gt; Entretien régulier des filtres de la ventilation. 
&gt; Révision périodique des moteurs
&gt; MPX et GE conformes à la norme IMO Tier III
&gt; Navire équipé d'une propulsion électrique</t>
  </si>
  <si>
    <t>&gt; Mesure du bruit hors salle des machines conforme à la résolution A.468 XII de l’OMI réalisée lors des essais mer 02/22 (rapport n° NVS-19018-R4-A).
&gt; Information, respect des consignes, port des EPI (casque anti-bruit).
&gt; Pictogramme de protection contre le bruit affiché sur les portes d’accès aux locaux machines.</t>
  </si>
  <si>
    <t>&gt; Respect des règlements en vigueur et du cadrage ARTT des agents affectés à bord des patrouilleurs des affaires maritimes.
&gt; Moyens nécessaires pour assurer les premiers secours des agents (médical 1 et 2) et les autres seront formés aux PSC1.
&gt; Défibrillateur installé à bord.</t>
  </si>
  <si>
    <t>Port des EPI (gants), formation à la reconnaissance des espèces.
Information, respect des consignes.</t>
  </si>
  <si>
    <t>&gt; Suivi médical régulier, stages de recyclage, entraînement régulier, respect de la réglementation hyperbare et des tables de décompression.
&gt; Une annexe équipée d’une bouée de type Silzig est à l’eau lorsque le navire est en mer ou parée à être mise à l’eau lorsque le navire est à quai, lors d’intervention en milieu hyperbare exécutée avec immersion.</t>
  </si>
  <si>
    <t>&gt; Mesures vibrations conforme à la réglementation (décret 2005-748 &lt; 0,5m/s²) réalisées lors des essais mer 02/22 (rapport n° NVS-19018-R4-A).
&gt; Utilisation des moteurs principaux en utilisant si possible l'allure où les vibrations se font le moins ressentir.</t>
  </si>
  <si>
    <t>&gt; Affichages obligatoires sur certains sites.
&gt; Remontées hiérarchiques, possibilité de s’orienter vers le médecin de prévention ou les ASS qui peuvent proposer des mesures individuelles concernant la situation du salarié victime.
&gt; Possibilité de faire des remontées par le registre santé et sécurité au travail sur l’intranet : http://intra.dirm-mediterranee.e2.rie.gouv.fr/saisie-d-une-remarque-a1849.html</t>
  </si>
  <si>
    <t>&gt; Écoute et communication, suivi médical du MDP et permanence ASS, groupe de coordination médico-social.
&gt; Mise en œuvre d’un plan d’évaluation et de prévention des RPS dans le cadre du plan d’action DIRM</t>
  </si>
  <si>
    <t>&gt; Suivi psychologique lors de l’habilitation au port d’arme.
&gt; Exercices de tir réguliers.</t>
  </si>
  <si>
    <t>&gt; Information, procédure interne de signalement des agressions (DCS), fiche réflexes agressions (MTES) et circulaire du 02/11/2020 et du 09/02/2018.
&gt; Entraînement des agents à l’usage des armes.
&gt; Référent arme au sein de l’équipage.</t>
  </si>
  <si>
    <t>&gt; Coffre à code
&gt; Porte et serrure renforcée
&gt; Armurerie protégée par une alarme (contact porte et volumétrique)
&gt; Armes et munitions entreposées dans deux coffres distincts et scellés au mur
&gt; Signer le registre d’arme
&gt; Appeler le 17 et échanger avec les forces de l’ordre</t>
  </si>
  <si>
    <t>&gt; Interdiction de fumer et de vapoter à bord.
&gt; Rappel des textes réglementaires.
&gt; Note interne n°270 du 14/03/14 diffusée aux services « politique de la DIRM MED en matière de prévention des risques liés à la consommation d’alcool ».</t>
  </si>
  <si>
    <t>&gt; Respect des rythmes de travail, du code de la route, prise en compte des recommandations de la prévention routière sur les temps de repos.
&gt; Vérification visuelle du véhicule avant chaque déplacement.
&gt; Préparation des déplacements.
&gt; Suivi et entretien réguliers des véhicules, contrôle technique.
&gt; Trajets sur autoroutes privilégiés (cartes de télépéages généralisées).
&gt; Respect de la charte sur l’utilisation des véhicules de service (disponible sur l’intranet).
&gt; En cas de panne, accident, crevaison, panne/erreur de carburant, vol/vandalisme, perte de clés/carte de démarrage : contacter le n° d’assistance inscrit dans les pochettes véhicules.
&gt; En cas de panne ou d’accident : port du gilet fluorescent, triangle de signalisation, maintien à distance de la chaussée dans l’attente de l’assistance.</t>
  </si>
  <si>
    <t xml:space="preserve">Traitement préventif de l’eau au chlore, analyses, traitement curatif choc chlore, thermique.
</t>
  </si>
  <si>
    <t>&gt; Lavage régulier des mains pour se décontaminer et éviter de contaminer les autres ou utilisation de produit hydroalcoolique désinfectant (à utiliser sur mains non souillées, ces solutions ne remplacent pas l’eau et le savon).
&gt; Port d’EPI adaptés à la situation (gants jetables, masques de protection respiratoire…).
&gt; En général, éviter tout contact des mains souillées avec les yeux, le nez, la bouche.
&gt; Vestiaires, douches.
&gt; Aération, ventilation régulière, nettoyage des locaux.
&gt; Information : ne pas embarquer un agent lorsqu’il est malade.</t>
  </si>
  <si>
    <t>&gt; Lavage des mains pour se décontaminer et éviter de contaminer les autres.
&gt; Éviter tout contact des mains souillées avec les yeux, le nez, la bouche.
Consultation de la fiche prévention sur l’intranet : http://intra.dram-mediterranee.i2/ficheprevention-a1644.html</t>
  </si>
  <si>
    <t>&gt; Suivi du MDP : vaccination et rappels.
&gt; Port des EPI (gants) et vêtements de travail adaptés.</t>
  </si>
  <si>
    <t>&gt; Formation HACCP pour les cuisiniers.
&gt; Lavage des mains pour se décontaminer et éviter de contaminer les autres.
&gt; Consommation d’eau minérale et respect des normes sanitaires (hygiène, température, dates de péremption).
&gt; Établissements et locaux tenus dans un état d’hygiène et de salubrité nécessaire à la santé du personnel.</t>
  </si>
  <si>
    <t xml:space="preserve">&gt; Consommation d'eau minérale.
&gt; Purge du tuyau avant remplissage, analyse régulière, traitement de l'eau au chlore. </t>
  </si>
  <si>
    <t>&gt; Pas de retours des connaissances et d'adoption de comportements
adaptés aux menaces. Cette information se fait logiquement au travers du Document d'Information Communal sur les Risques Majeurs (DICRIM).
&gt; Lien intranet: 
http://intra.dram-mediterranee.i2/le-risque-de-force-majeure-a2169.html</t>
  </si>
  <si>
    <t>&gt; Port des EPI. 
&gt; Respect des consignes d'embarquement.
&gt; Revêtement antidérapant échelles et ponton. 
&gt; Aménagement de la descente avec mise en place d'un escalier d'accès 
avec une peinture anti-dérapante. 
&gt; Eclairage satisfaisant en cas d'embarquement de nuit.
&gt; Zonage</t>
  </si>
  <si>
    <t>&gt; Nettoyage et dégagement des voies de circulation.
&gt; Information, respect des consignes, port des EPI chaussants (avec semelles antidérapantes).
&gt; Escalier d’accès avec une peinture antidérapante.
&gt; Revêtement antidérapant du navire.
&gt; Éclairage satisfaisant pour les déplacements à bord de nuit.</t>
  </si>
  <si>
    <t>&gt; Information et formation adéquate. 
&gt; Respect des consignes. 
&gt; Port des gants. 
&gt; Port des EPI chaussants (avec semelles antidérapantes).</t>
  </si>
  <si>
    <t>&gt; Présence de bouée de signalisation et de pavillon de plongée. 
&gt; Suivi de la procédure intervention en milieu hyperbare</t>
  </si>
  <si>
    <t>&gt; Suivi de la procédure risque migrant 
&gt; Formation tous les 2 ans</t>
  </si>
  <si>
    <t>Pour les opérations de vidange (AdBlue), les EPI à disposition des agents ne sont pas adaptés (irritations des yeux et de la gorge). Le bord doit se doter de masques de protection plus adaptés.</t>
  </si>
  <si>
    <t>Dotation en bouchons d’oreilles individuels moulés et adaptés à l’agent.</t>
  </si>
  <si>
    <t>&gt; Laisser ventiler le local avant les contrôles.
&gt; Collecte et lecture des fiches de données de sécurité (FDS) : port des EPI recommandés, respect des consignes et vérification des compatibilités de stockage, pour intégration dans la FPE.
&gt; Opérations possibles sur batteries/accus par un chargé d’intervention (BR) :
&gt; Connexion/déconnexion circuit ouvert (hors charge, dans ce cas vérifier l’organe d’ouverture).
&gt; Manutention uniquement sur bornes protégées contre les contacts directs.</t>
  </si>
  <si>
    <t>&gt; Réduction, voire suppression, de l’utilisation de produits chimiques CMR à bord du navire.</t>
  </si>
  <si>
    <t>&gt; Vérifier et maintenir la signalisation du risque.</t>
  </si>
  <si>
    <t>&gt; Formation gestes et postures envisageable si adaptée aux caractéristiques spécifiques du travail à bord du navire.
Information sur la prévention du risque lié à l’activité physique (PRAP, G&amp;P…).
&gt; Recherche d’EPI.</t>
  </si>
  <si>
    <t>&gt; Étude du conditionnement à la commande.
&gt; Au besoin, dotation en harnais de force (prévention/protection lombaires) à voir avec le CP.</t>
  </si>
  <si>
    <t>&gt; Acquisition d’un détecteur monogaz (monoxyde de carbone) ou utilisation de ceux du CSN PACA-Corse.
&gt; Utilisation de masque ventilé.</t>
  </si>
  <si>
    <t>&gt; À terme, l’équipage devra être formé a minima au PSC1.
&gt; Recyclages réguliers conseillés.
&gt; Assurer la maintenance de la batterie du défibrillateur.
&gt; Plan RPS.</t>
  </si>
  <si>
    <t>&gt; Diffusion des documents et sensibilisation par les affichages obligatoires.
Accès aux brochures contenant les informations relatives aux risques sur l’intranet.
&gt; Lien : http://intra.dram-mediterranee.i2/les-risques-psychosociaux-r829.html
&gt; Sensibilisation et formation des managers à la gestion des conflits et à la lutte contre le sexisme au travail.
A&gt; ctualisé avec le plan d’action RPS.</t>
  </si>
  <si>
    <t>&gt; Vérifier, dans le cadre des chantiers, si la responsabilité de la DIRM peut être engagée en cas d’accident survenant à bord du navire, y compris dans une zone d’intervention relevant d’une autre entreprise.
&gt; Le cas échéant, prévoir l’élaboration de plans de prévention adaptés.</t>
  </si>
  <si>
    <t>&gt; Consulter le DICRIM* de la commune pour être informer, se préparer et se protéger de ces risques présents près de chez-soi et au travail, lien intranet : http://intra.dram-mediterranee.i2/le-risque-de-force-majeure-a2169.html
&gt; S'informer auprès des services de la commune sur les mises à jours des DICRIM* et diffuser l'information au personnel.
&gt; En cas d'alerte prendre les consignes, s'organiser et anticiper  (SNA signal d'alerte et d'information, radio, internet, réseaux sociaux..).</t>
  </si>
  <si>
    <t>N° Risque</t>
  </si>
  <si>
    <t>Biologique</t>
  </si>
  <si>
    <t>Risque lié aux automatismes</t>
  </si>
  <si>
    <t>Risque lié aux déplacements internes</t>
  </si>
  <si>
    <t>Risque lié au poste en télétravail</t>
  </si>
  <si>
    <t>Risque lié aux gestes répétitifs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</si>
</sst>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amily val="2"/>
    </font>
    <font>
      <sz val="11"/>
      <name val="Calibri"/>
      <family val="2"/>
      <scheme val="minor"/>
    </font>
    <font>
      <b/>
      <sz val="16"/>
      <name val="Calibri"/>
      <family val="2"/>
      <scheme val="minor"/>
    </font>
  </fonts>
  <fills count="3">
    <fill>
      <patternFill patternType="none"/>
    </fill>
    <fill>
      <patternFill patternType="gray125"/>
    </fill>
    <fill>
      <patternFill patternType="solid">
        <fgColor theme="4"/>
        <bgColor indexed="64"/>
      </patternFill>
    </fill>
  </fills>
  <borders count="5">
    <border>
      <left/>
      <right/>
      <top/>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0" fontId="1" fillId="0" borderId="0"/>
  </cellStyleXfs>
  <cellXfs count="22">
    <xf numFmtId="0" fontId="0" fillId="0" borderId="0" xfId="0"/>
    <xf numFmtId="0" fontId="0" fillId="0" borderId="0" xfId="0" applyAlignment="1">
      <alignment wrapText="1"/>
    </xf>
    <xf numFmtId="0" fontId="0" fillId="0" borderId="0" xfId="0" applyAlignment="1">
      <alignment horizontal="right" wrapText="1"/>
    </xf>
    <xf numFmtId="0" fontId="0" fillId="0" borderId="0" xfId="0" applyAlignment="1">
      <alignment horizontal="center" vertical="center" wrapText="1"/>
    </xf>
    <xf numFmtId="14" fontId="0" fillId="0" borderId="0" xfId="1" applyNumberFormat="1" applyFont="1" applyAlignment="1">
      <alignment horizontal="right" vertical="center" wrapText="1"/>
    </xf>
    <xf numFmtId="0" fontId="0" fillId="0" borderId="0" xfId="1" applyFont="1" applyAlignment="1">
      <alignment horizontal="left" vertical="center" wrapText="1"/>
    </xf>
    <xf numFmtId="0" fontId="0" fillId="0" borderId="0" xfId="1" applyFont="1" applyAlignment="1">
      <alignment horizontal="right" wrapText="1"/>
    </xf>
    <xf numFmtId="3" fontId="0" fillId="0" borderId="0" xfId="1" applyNumberFormat="1" applyFont="1" applyAlignment="1">
      <alignment horizontal="center" vertical="center" wrapText="1"/>
    </xf>
    <xf numFmtId="3" fontId="0" fillId="0" borderId="0" xfId="1" applyNumberFormat="1" applyFont="1" applyAlignment="1">
      <alignment horizontal="right" vertical="center" wrapText="1"/>
    </xf>
    <xf numFmtId="0" fontId="0" fillId="0" borderId="0" xfId="1" applyFont="1" applyAlignment="1">
      <alignment wrapText="1"/>
    </xf>
    <xf numFmtId="14" fontId="0" fillId="0" borderId="0" xfId="0" applyNumberFormat="1" applyAlignment="1">
      <alignment wrapText="1"/>
    </xf>
    <xf numFmtId="3" fontId="0" fillId="0" borderId="0" xfId="1" applyNumberFormat="1" applyFont="1" applyFill="1" applyAlignment="1">
      <alignment horizontal="right" vertical="center" wrapText="1"/>
    </xf>
    <xf numFmtId="0" fontId="0" fillId="0" borderId="0" xfId="1" applyFont="1" applyFill="1" applyAlignment="1">
      <alignment horizontal="left" vertical="center" wrapText="1"/>
    </xf>
    <xf numFmtId="0" fontId="0" fillId="0" borderId="0" xfId="0" applyNumberFormat="1" applyAlignment="1">
      <alignment wrapText="1"/>
    </xf>
    <xf numFmtId="14" fontId="0" fillId="0" borderId="0" xfId="1" applyNumberFormat="1" applyFont="1" applyAlignment="1">
      <alignment wrapText="1"/>
    </xf>
    <xf numFmtId="0" fontId="0" fillId="0" borderId="0" xfId="1" applyFont="1" applyFill="1" applyAlignment="1">
      <alignment wrapText="1"/>
    </xf>
    <xf numFmtId="3" fontId="0" fillId="0" borderId="2" xfId="1" applyNumberFormat="1" applyFont="1" applyFill="1" applyBorder="1" applyAlignment="1">
      <alignment horizontal="center" vertical="center" wrapText="1"/>
    </xf>
    <xf numFmtId="0" fontId="0" fillId="0" borderId="1" xfId="1" applyNumberFormat="1" applyFont="1" applyFill="1" applyBorder="1" applyAlignment="1">
      <alignment horizontal="left" vertical="center" wrapText="1"/>
    </xf>
    <xf numFmtId="3" fontId="0" fillId="0" borderId="3" xfId="1" applyNumberFormat="1" applyFont="1" applyFill="1" applyBorder="1" applyAlignment="1">
      <alignment horizontal="center" vertical="center" wrapText="1"/>
    </xf>
    <xf numFmtId="0" fontId="0" fillId="0" borderId="4" xfId="1" applyNumberFormat="1" applyFont="1" applyFill="1" applyBorder="1" applyAlignment="1">
      <alignment horizontal="left" vertical="center" wrapText="1"/>
    </xf>
    <xf numFmtId="0" fontId="2" fillId="0" borderId="0" xfId="0" applyFont="1"/>
    <xf numFmtId="0" fontId="3" fillId="2" borderId="0" xfId="0" applyFont="1" applyFill="1" applyAlignment="1">
      <alignment horizontal="center"/>
    </xf>
  </cellXfs>
  <cellStyles count="2">
    <cellStyle name="NiveauLigne_4" xfId="1" builtinId="1" iLevel="3"/>
    <cellStyle name="Normal" xfId="0" builtinId="0"/>
  </cellStyles>
  <dxfs count="36">
    <dxf>
      <font>
        <b/>
        <i val="0"/>
        <strike val="0"/>
        <condense val="0"/>
        <extend val="0"/>
        <outline val="0"/>
        <shadow val="0"/>
        <u val="none"/>
        <vertAlign val="baseline"/>
        <sz val="16"/>
        <color auto="1"/>
        <name val="Calibri"/>
        <family val="2"/>
        <scheme val="minor"/>
      </font>
      <fill>
        <patternFill patternType="solid">
          <fgColor indexed="64"/>
          <bgColor theme="4"/>
        </patternFill>
      </fill>
      <alignment horizontal="center"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numFmt numFmtId="3" formatCode="#,##0"/>
      <fill>
        <patternFill patternType="none">
          <fgColor indexed="64"/>
          <bgColor auto="1"/>
        </patternFill>
      </fill>
      <alignment horizontal="center" vertical="center"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1" indent="0" justifyLastLine="0" shrinkToFit="0" readingOrder="0"/>
    </dxf>
    <dxf>
      <alignment horizontal="right"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left" vertical="center" textRotation="0" wrapText="1" indent="0" justifyLastLine="0" shrinkToFit="0" readingOrder="0"/>
    </dxf>
    <dxf>
      <font>
        <sz val="11"/>
        <color theme="1"/>
        <name val="Calibri"/>
        <family val="2"/>
        <scheme val="minor"/>
      </font>
      <alignment horizontal="left" vertical="center" textRotation="0" wrapText="1" indent="0" justifyLastLine="0" shrinkToFit="0" readingOrder="0"/>
    </dxf>
    <dxf>
      <font>
        <sz val="11"/>
        <color theme="1"/>
        <name val="Calibri"/>
        <family val="2"/>
        <scheme val="minor"/>
      </font>
      <alignment horizontal="left" vertical="center" textRotation="0" wrapText="1" indent="0" justifyLastLine="0" shrinkToFit="0" readingOrder="0"/>
    </dxf>
    <dxf>
      <font>
        <sz val="11"/>
        <color theme="1"/>
        <name val="Calibri"/>
        <family val="2"/>
        <scheme val="minor"/>
      </font>
      <numFmt numFmtId="3" formatCode="#,##0"/>
      <alignment horizontal="center" vertical="center" textRotation="0" wrapText="1" indent="0" justifyLastLine="0" shrinkToFit="0" readingOrder="0"/>
    </dxf>
    <dxf>
      <font>
        <sz val="11"/>
        <color theme="1"/>
        <name val="Calibri"/>
        <family val="2"/>
        <scheme val="minor"/>
      </font>
      <alignment horizontal="left" vertical="center" textRotation="0" wrapText="1" indent="0" justifyLastLine="0" shrinkToFit="0" readingOrder="0"/>
    </dxf>
    <dxf>
      <font>
        <sz val="11"/>
        <color theme="1"/>
        <name val="Calibri"/>
        <family val="2"/>
        <scheme val="minor"/>
      </font>
      <alignment horizontal="left" vertical="center" textRotation="0" wrapText="1" indent="0" justifyLastLine="0" shrinkToFit="0" readingOrder="0"/>
    </dxf>
    <dxf>
      <font>
        <sz val="11"/>
        <color theme="1"/>
        <name val="Calibri"/>
        <family val="2"/>
        <scheme val="minor"/>
      </font>
      <alignment horizontal="left" vertical="center" textRotation="0" wrapText="1" indent="0" justifyLastLine="0" shrinkToFit="0" readingOrder="0"/>
    </dxf>
    <dxf>
      <font>
        <sz val="11"/>
        <color theme="1"/>
        <name val="Calibri"/>
        <family val="2"/>
        <scheme val="minor"/>
      </font>
      <numFmt numFmtId="3" formatCode="#,##0"/>
      <alignment horizontal="right" vertical="center"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959F12-AB1F-49BD-B144-40DD3C78ED07}" name="Tableau3" displayName="Tableau3" ref="A1:B46" totalsRowShown="0" headerRowDxfId="0" dataDxfId="1" tableBorderDxfId="4">
  <autoFilter ref="A1:B46" xr:uid="{CB959F12-AB1F-49BD-B144-40DD3C78ED07}"/>
  <tableColumns count="2">
    <tableColumn id="1" xr3:uid="{DC380C91-59B4-4BDD-8CFA-6A3CDAB6779F}" name="N° Risque" dataDxfId="3" dataCellStyle="NiveauLigne_4"/>
    <tableColumn id="2" xr3:uid="{CCD89FA6-A722-4795-A66A-A63E55582153}" name="Risque " dataDxfId="2" dataCellStyle="NiveauLigne_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BB5E74-3645-4E67-AF94-E879C556EE6B}" name="Tableau143" displayName="Tableau143" ref="A2:U77" totalsRowShown="0" headerRowDxfId="35" dataDxfId="34">
  <autoFilter ref="A2:U77" xr:uid="{0A6F03C2-ABBA-4285-9789-1AC2E76DE44D}">
    <filterColumn colId="4">
      <filters>
        <filter val="15"/>
      </filters>
    </filterColumn>
  </autoFilter>
  <sortState xmlns:xlrd2="http://schemas.microsoft.com/office/spreadsheetml/2017/richdata2" ref="A3:U77">
    <sortCondition ref="E2:E77"/>
  </sortState>
  <tableColumns count="21">
    <tableColumn id="1" xr3:uid="{8945FCFC-BD51-47B2-8C7F-D752A5A18C37}" name="Identification Risque " dataDxfId="33" dataCellStyle="NiveauLigne_4"/>
    <tableColumn id="2" xr3:uid="{7FB08D0D-2D34-4D25-84F8-FB9B4496B23A}" name="Unité " dataDxfId="32" dataCellStyle="NiveauLigne_4"/>
    <tableColumn id="3" xr3:uid="{B54B0C63-706F-42DE-9ECB-B9742A71CADB}" name="Service" dataDxfId="31" dataCellStyle="NiveauLigne_4"/>
    <tableColumn id="4" xr3:uid="{24018715-8388-42EC-9715-3CAB78C101A0}" name="Site" dataDxfId="30" dataCellStyle="NiveauLigne_4"/>
    <tableColumn id="5" xr3:uid="{3D2F2F50-EEE7-4CBA-B17B-E7AAA2E27AA8}" name="Numéro risque" dataDxfId="29" dataCellStyle="NiveauLigne_4"/>
    <tableColumn id="6" xr3:uid="{A3E5C770-1FF4-43EE-AEFF-0DE01D1AD069}" name="Risque " dataDxfId="28" dataCellStyle="NiveauLigne_4"/>
    <tableColumn id="7" xr3:uid="{F6E30735-6DB0-41E4-9315-57A6A2972D39}" name="Situation dangereuse" dataDxfId="27" dataCellStyle="NiveauLigne_4"/>
    <tableColumn id="8" xr3:uid="{636AB283-B0AE-43CE-8FE3-B70F5EF83FDA}" name="Dommage" dataDxfId="26"/>
    <tableColumn id="9" xr3:uid="{CF3F4531-2A1F-4814-9730-2B39853E8E0E}" name="Responsable" dataDxfId="25"/>
    <tableColumn id="10" xr3:uid="{48F64ED6-6BC1-4750-8B1B-D97347868CB2}" name="Fréquence" dataDxfId="24"/>
    <tableColumn id="11" xr3:uid="{3021261B-403C-4D23-AF5A-01FDCBAC910A}" name="Gravité" dataDxfId="23"/>
    <tableColumn id="12" xr3:uid="{A6C145BC-31C7-49F1-A53A-BE0EE1C3276D}" name="Priorité initiale" dataDxfId="22">
      <calculatedColumnFormula>Tableau143[[#This Row],[Fréquence]]*Tableau143[[#This Row],[Gravité]]</calculatedColumnFormula>
    </tableColumn>
    <tableColumn id="13" xr3:uid="{29030EA7-2CDD-4923-86A3-35C06DA22BBF}" name="Mesure Existante" dataDxfId="21"/>
    <tableColumn id="20" xr3:uid="{E5E171AD-8C02-460D-8711-5AB880ACC1A0}" name="Moyen de Maitrise" dataDxfId="20"/>
    <tableColumn id="15" xr3:uid="{CA34FE07-DEE6-46B3-BB7F-DF3CBF56CC6C}" name="Calcul priorité" dataDxfId="19">
      <calculatedColumnFormula>Tableau143[[#This Row],[Moyen de Maitrise]]*Tableau143[[#This Row],[Priorité initiale]]</calculatedColumnFormula>
    </tableColumn>
    <tableColumn id="18" xr3:uid="{1EBD1CE1-5388-4A1F-8BCE-81CB7B7AD829}" name="Priorité finale 2" dataDxfId="18" dataCellStyle="NiveauLigne_4">
      <calculatedColumnFormula>IF(AND(O3&gt;=0,O3&lt;4),"P3",IF(AND(O3&gt;=4,O3&lt;=8),"P2",IF(O3&gt;8,"P1","")))</calculatedColumnFormula>
    </tableColumn>
    <tableColumn id="22" xr3:uid="{26B732F5-4266-4D48-94C4-AACB0DB19190}" name="Mesures A proposer" dataDxfId="17" dataCellStyle="NiveauLigne_4"/>
    <tableColumn id="16" xr3:uid="{B36846B0-2154-4C8E-AA5E-C570052BAD3F}" name="Dernière MAJ" dataDxfId="16"/>
    <tableColumn id="17" xr3:uid="{32EC4214-DA7A-49D9-981C-3B9030A58883}" name="Échéance" dataDxfId="15"/>
    <tableColumn id="19" xr3:uid="{67D2959E-C09D-4112-B083-8E27478CC25D}" name="Retour d'action" dataDxfId="14"/>
    <tableColumn id="21" xr3:uid="{91C196A4-49FA-4D13-A71B-23C9ACD1A559}" name="Observation" dataDxfId="13"/>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F7C4C-B0E3-473C-A4C8-F2B6AC551701}">
  <dimension ref="A1:C46"/>
  <sheetViews>
    <sheetView tabSelected="1" workbookViewId="0">
      <selection activeCell="D10" sqref="D10"/>
    </sheetView>
  </sheetViews>
  <sheetFormatPr baseColWidth="10" defaultRowHeight="15" x14ac:dyDescent="0.25"/>
  <cols>
    <col min="1" max="1" width="15.140625" customWidth="1"/>
    <col min="2" max="2" width="34.7109375" customWidth="1"/>
  </cols>
  <sheetData>
    <row r="1" spans="1:3" ht="21" x14ac:dyDescent="0.35">
      <c r="A1" s="21" t="s">
        <v>292</v>
      </c>
      <c r="B1" s="21" t="s">
        <v>121</v>
      </c>
    </row>
    <row r="2" spans="1:3" x14ac:dyDescent="0.25">
      <c r="A2" s="16">
        <v>1</v>
      </c>
      <c r="B2" s="17" t="s">
        <v>172</v>
      </c>
    </row>
    <row r="3" spans="1:3" x14ac:dyDescent="0.25">
      <c r="A3" s="16">
        <v>2</v>
      </c>
      <c r="B3" s="17" t="s">
        <v>293</v>
      </c>
    </row>
    <row r="4" spans="1:3" x14ac:dyDescent="0.25">
      <c r="A4" s="16">
        <v>3</v>
      </c>
      <c r="B4" s="17" t="s">
        <v>3</v>
      </c>
    </row>
    <row r="5" spans="1:3" ht="36.75" customHeight="1" x14ac:dyDescent="0.25">
      <c r="A5" s="16">
        <v>4</v>
      </c>
      <c r="B5" s="17" t="s">
        <v>57</v>
      </c>
      <c r="C5" s="20"/>
    </row>
    <row r="6" spans="1:3" ht="32.25" customHeight="1" x14ac:dyDescent="0.25">
      <c r="A6" s="16">
        <v>5</v>
      </c>
      <c r="B6" s="17" t="s">
        <v>17</v>
      </c>
    </row>
    <row r="7" spans="1:3" x14ac:dyDescent="0.25">
      <c r="A7" s="16">
        <v>6</v>
      </c>
      <c r="B7" s="17" t="s">
        <v>48</v>
      </c>
    </row>
    <row r="8" spans="1:3" x14ac:dyDescent="0.25">
      <c r="A8" s="16">
        <v>7</v>
      </c>
      <c r="B8" s="17" t="s">
        <v>45</v>
      </c>
    </row>
    <row r="9" spans="1:3" x14ac:dyDescent="0.25">
      <c r="A9" s="16">
        <v>8</v>
      </c>
      <c r="B9" s="17" t="s">
        <v>52</v>
      </c>
    </row>
    <row r="10" spans="1:3" ht="53.25" customHeight="1" x14ac:dyDescent="0.25">
      <c r="A10" s="16">
        <v>9</v>
      </c>
      <c r="B10" s="17" t="s">
        <v>175</v>
      </c>
    </row>
    <row r="11" spans="1:3" ht="49.5" customHeight="1" x14ac:dyDescent="0.25">
      <c r="A11" s="16">
        <v>10</v>
      </c>
      <c r="B11" s="17" t="s">
        <v>178</v>
      </c>
    </row>
    <row r="12" spans="1:3" ht="32.25" customHeight="1" x14ac:dyDescent="0.25">
      <c r="A12" s="16">
        <v>11</v>
      </c>
      <c r="B12" s="17" t="s">
        <v>181</v>
      </c>
    </row>
    <row r="13" spans="1:3" ht="32.25" customHeight="1" x14ac:dyDescent="0.25">
      <c r="A13" s="16">
        <v>12</v>
      </c>
      <c r="B13" s="17" t="s">
        <v>294</v>
      </c>
    </row>
    <row r="14" spans="1:3" ht="53.25" customHeight="1" x14ac:dyDescent="0.25">
      <c r="A14" s="16">
        <v>13</v>
      </c>
      <c r="B14" s="17" t="s">
        <v>33</v>
      </c>
    </row>
    <row r="15" spans="1:3" ht="53.25" customHeight="1" x14ac:dyDescent="0.25">
      <c r="A15" s="16">
        <v>14</v>
      </c>
      <c r="B15" s="17" t="s">
        <v>297</v>
      </c>
    </row>
    <row r="16" spans="1:3" ht="33" customHeight="1" x14ac:dyDescent="0.25">
      <c r="A16" s="16">
        <v>15</v>
      </c>
      <c r="B16" s="17" t="s">
        <v>80</v>
      </c>
    </row>
    <row r="17" spans="1:2" ht="50.25" customHeight="1" x14ac:dyDescent="0.25">
      <c r="A17" s="16">
        <v>16</v>
      </c>
      <c r="B17" s="17" t="s">
        <v>191</v>
      </c>
    </row>
    <row r="18" spans="1:2" ht="36.75" customHeight="1" x14ac:dyDescent="0.25">
      <c r="A18" s="16">
        <v>17</v>
      </c>
      <c r="B18" s="17" t="s">
        <v>16</v>
      </c>
    </row>
    <row r="19" spans="1:2" ht="42" customHeight="1" x14ac:dyDescent="0.25">
      <c r="A19" s="16">
        <v>18</v>
      </c>
      <c r="B19" s="17" t="s">
        <v>74</v>
      </c>
    </row>
    <row r="20" spans="1:2" x14ac:dyDescent="0.25">
      <c r="A20" s="16">
        <v>19</v>
      </c>
      <c r="B20" s="17" t="s">
        <v>28</v>
      </c>
    </row>
    <row r="21" spans="1:2" x14ac:dyDescent="0.25">
      <c r="A21" s="16">
        <v>20</v>
      </c>
      <c r="B21" s="17" t="s">
        <v>50</v>
      </c>
    </row>
    <row r="22" spans="1:2" x14ac:dyDescent="0.25">
      <c r="A22" s="16">
        <v>21</v>
      </c>
      <c r="B22" s="17" t="s">
        <v>137</v>
      </c>
    </row>
    <row r="23" spans="1:2" x14ac:dyDescent="0.25">
      <c r="A23" s="16">
        <v>22</v>
      </c>
      <c r="B23" s="17" t="s">
        <v>134</v>
      </c>
    </row>
    <row r="24" spans="1:2" x14ac:dyDescent="0.25">
      <c r="A24" s="16">
        <v>23</v>
      </c>
      <c r="B24" s="17" t="s">
        <v>135</v>
      </c>
    </row>
    <row r="25" spans="1:2" x14ac:dyDescent="0.25">
      <c r="A25" s="16">
        <v>24</v>
      </c>
      <c r="B25" s="17" t="s">
        <v>13</v>
      </c>
    </row>
    <row r="26" spans="1:2" x14ac:dyDescent="0.25">
      <c r="A26" s="16">
        <v>25</v>
      </c>
      <c r="B26" s="17" t="s">
        <v>195</v>
      </c>
    </row>
    <row r="27" spans="1:2" x14ac:dyDescent="0.25">
      <c r="A27" s="16">
        <v>26</v>
      </c>
      <c r="B27" s="17" t="s">
        <v>24</v>
      </c>
    </row>
    <row r="28" spans="1:2" x14ac:dyDescent="0.25">
      <c r="A28" s="16">
        <v>27</v>
      </c>
      <c r="B28" s="17" t="s">
        <v>14</v>
      </c>
    </row>
    <row r="29" spans="1:2" x14ac:dyDescent="0.25">
      <c r="A29" s="16">
        <v>28</v>
      </c>
      <c r="B29" s="17" t="s">
        <v>199</v>
      </c>
    </row>
    <row r="30" spans="1:2" ht="54.75" customHeight="1" x14ac:dyDescent="0.25">
      <c r="A30" s="16">
        <v>29</v>
      </c>
      <c r="B30" s="17" t="s">
        <v>202</v>
      </c>
    </row>
    <row r="31" spans="1:2" ht="54.75" customHeight="1" x14ac:dyDescent="0.25">
      <c r="A31" s="16">
        <v>30</v>
      </c>
      <c r="B31" s="17" t="s">
        <v>295</v>
      </c>
    </row>
    <row r="32" spans="1:2" ht="32.25" customHeight="1" x14ac:dyDescent="0.25">
      <c r="A32" s="16">
        <v>31</v>
      </c>
      <c r="B32" s="17" t="s">
        <v>43</v>
      </c>
    </row>
    <row r="33" spans="1:2" ht="38.25" customHeight="1" x14ac:dyDescent="0.25">
      <c r="A33" s="16">
        <v>32</v>
      </c>
      <c r="B33" s="17" t="s">
        <v>39</v>
      </c>
    </row>
    <row r="34" spans="1:2" x14ac:dyDescent="0.25">
      <c r="A34" s="16">
        <v>33</v>
      </c>
      <c r="B34" s="17" t="s">
        <v>10</v>
      </c>
    </row>
    <row r="35" spans="1:2" ht="44.25" customHeight="1" x14ac:dyDescent="0.25">
      <c r="A35" s="16">
        <v>34</v>
      </c>
      <c r="B35" s="17" t="s">
        <v>20</v>
      </c>
    </row>
    <row r="36" spans="1:2" ht="50.25" customHeight="1" x14ac:dyDescent="0.25">
      <c r="A36" s="16">
        <v>35</v>
      </c>
      <c r="B36" s="17" t="s">
        <v>60</v>
      </c>
    </row>
    <row r="37" spans="1:2" ht="58.5" customHeight="1" x14ac:dyDescent="0.25">
      <c r="A37" s="16">
        <v>36</v>
      </c>
      <c r="B37" s="17" t="s">
        <v>210</v>
      </c>
    </row>
    <row r="38" spans="1:2" x14ac:dyDescent="0.25">
      <c r="A38" s="16">
        <v>37</v>
      </c>
      <c r="B38" s="17" t="s">
        <v>213</v>
      </c>
    </row>
    <row r="39" spans="1:2" x14ac:dyDescent="0.25">
      <c r="A39" s="16">
        <v>38</v>
      </c>
      <c r="B39" s="17" t="s">
        <v>218</v>
      </c>
    </row>
    <row r="40" spans="1:2" ht="48.75" customHeight="1" x14ac:dyDescent="0.25">
      <c r="A40" s="16">
        <v>39</v>
      </c>
      <c r="B40" s="17" t="s">
        <v>19</v>
      </c>
    </row>
    <row r="41" spans="1:2" x14ac:dyDescent="0.25">
      <c r="A41" s="16">
        <v>40</v>
      </c>
      <c r="B41" s="17" t="s">
        <v>226</v>
      </c>
    </row>
    <row r="42" spans="1:2" x14ac:dyDescent="0.25">
      <c r="A42" s="16">
        <v>41</v>
      </c>
      <c r="B42" s="17" t="s">
        <v>296</v>
      </c>
    </row>
    <row r="43" spans="1:2" x14ac:dyDescent="0.25">
      <c r="A43" s="16">
        <v>42</v>
      </c>
      <c r="B43" s="17" t="s">
        <v>49</v>
      </c>
    </row>
    <row r="44" spans="1:2" ht="30" x14ac:dyDescent="0.25">
      <c r="A44" s="16">
        <v>43</v>
      </c>
      <c r="B44" s="17" t="s">
        <v>145</v>
      </c>
    </row>
    <row r="45" spans="1:2" x14ac:dyDescent="0.25">
      <c r="A45" s="16">
        <v>44</v>
      </c>
      <c r="B45" s="17" t="s">
        <v>163</v>
      </c>
    </row>
    <row r="46" spans="1:2" x14ac:dyDescent="0.25">
      <c r="A46" s="18">
        <v>45</v>
      </c>
      <c r="B46" s="19" t="s">
        <v>168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4268C-8F4E-4408-9D3C-72DF90EA5717}">
  <dimension ref="A2:U77"/>
  <sheetViews>
    <sheetView zoomScale="80" zoomScaleNormal="80" workbookViewId="0">
      <pane ySplit="2" topLeftCell="A3" activePane="bottomLeft" state="frozen"/>
      <selection pane="bottomLeft" activeCell="E99" sqref="E99"/>
    </sheetView>
  </sheetViews>
  <sheetFormatPr baseColWidth="10" defaultRowHeight="15" x14ac:dyDescent="0.25"/>
  <cols>
    <col min="1" max="1" width="16.7109375" style="1" customWidth="1"/>
    <col min="2" max="2" width="20.85546875" style="1" customWidth="1"/>
    <col min="3" max="3" width="43" style="1" customWidth="1"/>
    <col min="4" max="4" width="63.7109375" style="1" customWidth="1"/>
    <col min="5" max="5" width="18.140625" style="3" customWidth="1"/>
    <col min="6" max="6" width="27.7109375" style="1" customWidth="1"/>
    <col min="7" max="7" width="75.85546875" style="1" customWidth="1"/>
    <col min="8" max="8" width="47.5703125" style="1" customWidth="1"/>
    <col min="9" max="9" width="29.140625" style="1" customWidth="1"/>
    <col min="10" max="10" width="12.5703125" style="1" customWidth="1"/>
    <col min="11" max="11" width="11.42578125" style="1"/>
    <col min="12" max="12" width="16.5703125" style="1" customWidth="1"/>
    <col min="13" max="13" width="74.28515625" style="1" customWidth="1"/>
    <col min="14" max="14" width="24.85546875" style="1" customWidth="1"/>
    <col min="15" max="16" width="15.85546875" style="2" customWidth="1"/>
    <col min="17" max="17" width="78.28515625" style="2" customWidth="1"/>
    <col min="18" max="18" width="19.5703125" style="1" customWidth="1"/>
    <col min="19" max="19" width="15.85546875" style="1" customWidth="1"/>
    <col min="20" max="20" width="51.7109375" style="1" customWidth="1"/>
    <col min="21" max="21" width="41.140625" style="1" customWidth="1"/>
    <col min="22" max="16384" width="11.42578125" style="1"/>
  </cols>
  <sheetData>
    <row r="2" spans="1:21" s="3" customFormat="1" ht="30" x14ac:dyDescent="0.25">
      <c r="A2" s="3" t="s">
        <v>126</v>
      </c>
      <c r="B2" s="3" t="s">
        <v>125</v>
      </c>
      <c r="C2" s="3" t="s">
        <v>124</v>
      </c>
      <c r="D2" s="3" t="s">
        <v>123</v>
      </c>
      <c r="E2" s="3" t="s">
        <v>122</v>
      </c>
      <c r="F2" s="3" t="s">
        <v>121</v>
      </c>
      <c r="G2" s="3" t="s">
        <v>120</v>
      </c>
      <c r="H2" s="3" t="s">
        <v>119</v>
      </c>
      <c r="I2" s="3" t="s">
        <v>118</v>
      </c>
      <c r="J2" s="3" t="s">
        <v>117</v>
      </c>
      <c r="K2" s="3" t="s">
        <v>116</v>
      </c>
      <c r="L2" s="3" t="s">
        <v>115</v>
      </c>
      <c r="M2" s="3" t="s">
        <v>114</v>
      </c>
      <c r="N2" s="3" t="s">
        <v>113</v>
      </c>
      <c r="O2" s="2" t="s">
        <v>112</v>
      </c>
      <c r="P2" s="2" t="s">
        <v>111</v>
      </c>
      <c r="Q2" s="3" t="s">
        <v>110</v>
      </c>
      <c r="R2" s="3" t="s">
        <v>127</v>
      </c>
      <c r="S2" s="3" t="s">
        <v>109</v>
      </c>
      <c r="T2" s="3" t="s">
        <v>108</v>
      </c>
      <c r="U2" s="3" t="s">
        <v>107</v>
      </c>
    </row>
    <row r="3" spans="1:21" ht="176.25" hidden="1" customHeight="1" x14ac:dyDescent="0.25">
      <c r="A3" s="8"/>
      <c r="B3" s="5" t="s">
        <v>6</v>
      </c>
      <c r="C3" s="5" t="s">
        <v>5</v>
      </c>
      <c r="D3" s="5" t="s">
        <v>4</v>
      </c>
      <c r="E3" s="7">
        <v>1</v>
      </c>
      <c r="F3" s="5" t="s">
        <v>172</v>
      </c>
      <c r="G3" s="5" t="s">
        <v>173</v>
      </c>
      <c r="H3" s="5" t="s">
        <v>174</v>
      </c>
      <c r="I3" s="5" t="s">
        <v>0</v>
      </c>
      <c r="J3" s="1">
        <v>1</v>
      </c>
      <c r="K3" s="1">
        <v>4</v>
      </c>
      <c r="L3" s="1">
        <f>Tableau143[[#This Row],[Fréquence]]*Tableau143[[#This Row],[Gravité]]</f>
        <v>4</v>
      </c>
      <c r="M3" s="5" t="s">
        <v>231</v>
      </c>
      <c r="N3" s="1">
        <v>0.5</v>
      </c>
      <c r="O3" s="2">
        <f>Tableau143[[#This Row],[Priorité initiale]]*Tableau143[[#This Row],[Moyen de Maitrise]]</f>
        <v>2</v>
      </c>
      <c r="P3" s="6" t="str">
        <f>IF(AND(O3&gt;=0,O3&lt;4),"P3",IF(AND(O3&gt;=4,O3&lt;=8),"P2",IF(O3&gt;8,"P1","")))</f>
        <v>P3</v>
      </c>
      <c r="Q3" s="5"/>
      <c r="S3" s="4"/>
    </row>
    <row r="4" spans="1:21" ht="60" hidden="1" x14ac:dyDescent="0.25">
      <c r="A4" s="8"/>
      <c r="B4" s="5" t="s">
        <v>6</v>
      </c>
      <c r="C4" s="5" t="s">
        <v>5</v>
      </c>
      <c r="D4" s="5" t="s">
        <v>4</v>
      </c>
      <c r="E4" s="7">
        <v>3</v>
      </c>
      <c r="F4" s="5" t="s">
        <v>3</v>
      </c>
      <c r="G4" s="5" t="s">
        <v>153</v>
      </c>
      <c r="H4" s="5" t="s">
        <v>154</v>
      </c>
      <c r="I4" s="5" t="s">
        <v>0</v>
      </c>
      <c r="J4" s="1">
        <v>1</v>
      </c>
      <c r="K4" s="1">
        <v>4</v>
      </c>
      <c r="L4" s="1">
        <f>Tableau143[[#This Row],[Fréquence]]*Tableau143[[#This Row],[Gravité]]</f>
        <v>4</v>
      </c>
      <c r="M4" s="5" t="s">
        <v>232</v>
      </c>
      <c r="N4" s="1">
        <v>0.5</v>
      </c>
      <c r="O4" s="2">
        <f>Tableau143[[#This Row],[Priorité initiale]]*Tableau143[[#This Row],[Moyen de Maitrise]]</f>
        <v>2</v>
      </c>
      <c r="P4" s="6" t="str">
        <f t="shared" ref="P4:P67" si="0">IF(AND(O4&gt;=0,O4&lt;4),"P3",IF(AND(O4&gt;=4,O4&lt;=8),"P2",IF(O4&gt;8,"P1","")))</f>
        <v>P3</v>
      </c>
      <c r="Q4" s="5"/>
      <c r="S4" s="4"/>
    </row>
    <row r="5" spans="1:21" ht="144" hidden="1" customHeight="1" x14ac:dyDescent="0.25">
      <c r="A5" s="8"/>
      <c r="B5" s="5" t="s">
        <v>6</v>
      </c>
      <c r="C5" s="5" t="s">
        <v>5</v>
      </c>
      <c r="D5" s="5" t="s">
        <v>4</v>
      </c>
      <c r="E5" s="7">
        <v>3</v>
      </c>
      <c r="F5" s="5" t="s">
        <v>3</v>
      </c>
      <c r="G5" s="5" t="s">
        <v>155</v>
      </c>
      <c r="H5" s="5" t="s">
        <v>101</v>
      </c>
      <c r="I5" s="5" t="s">
        <v>0</v>
      </c>
      <c r="J5" s="1">
        <v>2</v>
      </c>
      <c r="K5" s="1">
        <v>3</v>
      </c>
      <c r="L5" s="1">
        <f>Tableau143[[#This Row],[Fréquence]]*Tableau143[[#This Row],[Gravité]]</f>
        <v>6</v>
      </c>
      <c r="M5" s="5" t="s">
        <v>233</v>
      </c>
      <c r="N5" s="1">
        <v>0.5</v>
      </c>
      <c r="O5" s="2">
        <f>Tableau143[[#This Row],[Priorité initiale]]*Tableau143[[#This Row],[Moyen de Maitrise]]</f>
        <v>3</v>
      </c>
      <c r="P5" s="6" t="str">
        <f t="shared" si="0"/>
        <v>P3</v>
      </c>
      <c r="Q5" s="5"/>
    </row>
    <row r="6" spans="1:21" ht="45" hidden="1" x14ac:dyDescent="0.25">
      <c r="A6" s="8"/>
      <c r="B6" s="5" t="s">
        <v>6</v>
      </c>
      <c r="C6" s="5" t="s">
        <v>5</v>
      </c>
      <c r="D6" s="5" t="s">
        <v>4</v>
      </c>
      <c r="E6" s="7">
        <v>3</v>
      </c>
      <c r="F6" s="5" t="s">
        <v>3</v>
      </c>
      <c r="G6" s="5" t="s">
        <v>36</v>
      </c>
      <c r="H6" s="5" t="s">
        <v>35</v>
      </c>
      <c r="I6" s="5" t="s">
        <v>0</v>
      </c>
      <c r="J6" s="1">
        <v>2</v>
      </c>
      <c r="K6" s="1">
        <v>4</v>
      </c>
      <c r="L6" s="1">
        <f>Tableau143[[#This Row],[Fréquence]]*Tableau143[[#This Row],[Gravité]]</f>
        <v>8</v>
      </c>
      <c r="M6" s="5" t="s">
        <v>156</v>
      </c>
      <c r="N6" s="1">
        <v>1</v>
      </c>
      <c r="O6" s="2">
        <f>Tableau143[[#This Row],[Priorité initiale]]*Tableau143[[#This Row],[Moyen de Maitrise]]</f>
        <v>8</v>
      </c>
      <c r="P6" s="6" t="str">
        <f t="shared" si="0"/>
        <v>P2</v>
      </c>
      <c r="Q6" s="5" t="s">
        <v>280</v>
      </c>
    </row>
    <row r="7" spans="1:21" ht="138.75" hidden="1" customHeight="1" x14ac:dyDescent="0.25">
      <c r="A7" s="8"/>
      <c r="B7" s="5" t="s">
        <v>6</v>
      </c>
      <c r="C7" s="5" t="s">
        <v>5</v>
      </c>
      <c r="D7" s="5" t="s">
        <v>4</v>
      </c>
      <c r="E7" s="7">
        <v>3</v>
      </c>
      <c r="F7" s="5" t="s">
        <v>3</v>
      </c>
      <c r="G7" s="5" t="s">
        <v>2</v>
      </c>
      <c r="H7" s="5" t="s">
        <v>1</v>
      </c>
      <c r="I7" s="5" t="s">
        <v>0</v>
      </c>
      <c r="J7" s="1">
        <v>1</v>
      </c>
      <c r="K7" s="1">
        <v>1</v>
      </c>
      <c r="L7" s="1">
        <f>Tableau143[[#This Row],[Fréquence]]*Tableau143[[#This Row],[Gravité]]</f>
        <v>1</v>
      </c>
      <c r="M7" s="5" t="s">
        <v>228</v>
      </c>
      <c r="N7" s="1">
        <v>0.5</v>
      </c>
      <c r="O7" s="2">
        <f>Tableau143[[#This Row],[Priorité initiale]]*Tableau143[[#This Row],[Moyen de Maitrise]]</f>
        <v>0.5</v>
      </c>
      <c r="P7" s="6" t="str">
        <f t="shared" si="0"/>
        <v>P3</v>
      </c>
      <c r="Q7" s="5" t="s">
        <v>282</v>
      </c>
      <c r="S7" s="4"/>
    </row>
    <row r="8" spans="1:21" ht="105" hidden="1" x14ac:dyDescent="0.25">
      <c r="A8" s="8"/>
      <c r="B8" s="5" t="s">
        <v>6</v>
      </c>
      <c r="C8" s="5" t="s">
        <v>5</v>
      </c>
      <c r="D8" s="5" t="s">
        <v>4</v>
      </c>
      <c r="E8" s="7">
        <v>4</v>
      </c>
      <c r="F8" s="5" t="s">
        <v>57</v>
      </c>
      <c r="G8" s="5" t="s">
        <v>94</v>
      </c>
      <c r="H8" s="5" t="s">
        <v>93</v>
      </c>
      <c r="I8" s="5" t="s">
        <v>0</v>
      </c>
      <c r="J8" s="1">
        <v>2</v>
      </c>
      <c r="K8" s="1">
        <v>4</v>
      </c>
      <c r="L8" s="1">
        <f>Tableau143[[#This Row],[Fréquence]]*Tableau143[[#This Row],[Gravité]]</f>
        <v>8</v>
      </c>
      <c r="M8" s="5" t="s">
        <v>234</v>
      </c>
      <c r="N8" s="1">
        <v>0.5</v>
      </c>
      <c r="O8" s="2">
        <f>Tableau143[[#This Row],[Priorité initiale]]*Tableau143[[#This Row],[Moyen de Maitrise]]</f>
        <v>4</v>
      </c>
      <c r="P8" s="6" t="str">
        <f t="shared" si="0"/>
        <v>P2</v>
      </c>
      <c r="Q8" s="5" t="s">
        <v>283</v>
      </c>
      <c r="S8" s="4"/>
    </row>
    <row r="9" spans="1:21" ht="108" hidden="1" customHeight="1" x14ac:dyDescent="0.25">
      <c r="A9" s="8"/>
      <c r="B9" s="5" t="s">
        <v>6</v>
      </c>
      <c r="C9" s="5" t="s">
        <v>5</v>
      </c>
      <c r="D9" s="5" t="s">
        <v>4</v>
      </c>
      <c r="E9" s="7">
        <v>5</v>
      </c>
      <c r="F9" s="5" t="s">
        <v>17</v>
      </c>
      <c r="G9" s="5" t="s">
        <v>88</v>
      </c>
      <c r="H9" s="5" t="s">
        <v>86</v>
      </c>
      <c r="I9" s="5" t="s">
        <v>0</v>
      </c>
      <c r="J9" s="1">
        <v>4</v>
      </c>
      <c r="K9" s="1">
        <v>3</v>
      </c>
      <c r="L9" s="1">
        <f>Tableau143[[#This Row],[Fréquence]]*Tableau143[[#This Row],[Gravité]]</f>
        <v>12</v>
      </c>
      <c r="M9" s="5" t="s">
        <v>235</v>
      </c>
      <c r="N9" s="1">
        <v>0.5</v>
      </c>
      <c r="O9" s="2">
        <f>Tableau143[[#This Row],[Priorité initiale]]*Tableau143[[#This Row],[Moyen de Maitrise]]</f>
        <v>6</v>
      </c>
      <c r="P9" s="6" t="str">
        <f t="shared" si="0"/>
        <v>P2</v>
      </c>
      <c r="Q9" s="5"/>
      <c r="R9" s="10"/>
    </row>
    <row r="10" spans="1:21" ht="58.5" hidden="1" customHeight="1" x14ac:dyDescent="0.25">
      <c r="A10" s="8"/>
      <c r="B10" s="5" t="s">
        <v>6</v>
      </c>
      <c r="C10" s="5" t="s">
        <v>5</v>
      </c>
      <c r="D10" s="5" t="s">
        <v>4</v>
      </c>
      <c r="E10" s="7">
        <v>5</v>
      </c>
      <c r="F10" s="5" t="s">
        <v>17</v>
      </c>
      <c r="G10" s="5" t="s">
        <v>100</v>
      </c>
      <c r="H10" s="5" t="s">
        <v>86</v>
      </c>
      <c r="I10" s="5" t="s">
        <v>0</v>
      </c>
      <c r="J10" s="1">
        <v>3</v>
      </c>
      <c r="K10" s="1">
        <v>3</v>
      </c>
      <c r="L10" s="1">
        <f>Tableau143[[#This Row],[Fréquence]]*Tableau143[[#This Row],[Gravité]]</f>
        <v>9</v>
      </c>
      <c r="M10" s="5" t="s">
        <v>236</v>
      </c>
      <c r="N10" s="1">
        <v>0.5</v>
      </c>
      <c r="O10" s="2">
        <f>Tableau143[[#This Row],[Priorité initiale]]*Tableau143[[#This Row],[Moyen de Maitrise]]</f>
        <v>4.5</v>
      </c>
      <c r="P10" s="6" t="str">
        <f t="shared" si="0"/>
        <v>P2</v>
      </c>
      <c r="Q10" s="5"/>
      <c r="R10" s="10"/>
    </row>
    <row r="11" spans="1:21" ht="30" hidden="1" x14ac:dyDescent="0.25">
      <c r="A11" s="8"/>
      <c r="B11" s="5" t="s">
        <v>6</v>
      </c>
      <c r="C11" s="5" t="s">
        <v>5</v>
      </c>
      <c r="D11" s="5" t="s">
        <v>4</v>
      </c>
      <c r="E11" s="7">
        <v>5</v>
      </c>
      <c r="F11" s="5" t="s">
        <v>17</v>
      </c>
      <c r="G11" s="5" t="s">
        <v>87</v>
      </c>
      <c r="H11" s="5" t="s">
        <v>86</v>
      </c>
      <c r="I11" s="5" t="s">
        <v>0</v>
      </c>
      <c r="J11" s="1">
        <v>2</v>
      </c>
      <c r="K11" s="1">
        <v>3</v>
      </c>
      <c r="L11" s="1">
        <f>Tableau143[[#This Row],[Fréquence]]*Tableau143[[#This Row],[Gravité]]</f>
        <v>6</v>
      </c>
      <c r="M11" s="5" t="s">
        <v>229</v>
      </c>
      <c r="N11" s="1">
        <v>0.5</v>
      </c>
      <c r="O11" s="2">
        <f>Tableau143[[#This Row],[Priorité initiale]]*Tableau143[[#This Row],[Moyen de Maitrise]]</f>
        <v>3</v>
      </c>
      <c r="P11" s="6" t="str">
        <f t="shared" si="0"/>
        <v>P3</v>
      </c>
      <c r="Q11" s="5"/>
      <c r="R11" s="10"/>
    </row>
    <row r="12" spans="1:21" ht="30" hidden="1" x14ac:dyDescent="0.25">
      <c r="A12" s="8"/>
      <c r="B12" s="5" t="s">
        <v>6</v>
      </c>
      <c r="C12" s="5" t="s">
        <v>5</v>
      </c>
      <c r="D12" s="5" t="s">
        <v>4</v>
      </c>
      <c r="E12" s="7">
        <v>5</v>
      </c>
      <c r="F12" s="5" t="s">
        <v>17</v>
      </c>
      <c r="G12" s="5" t="s">
        <v>152</v>
      </c>
      <c r="H12" s="5" t="s">
        <v>86</v>
      </c>
      <c r="I12" s="5" t="s">
        <v>0</v>
      </c>
      <c r="J12" s="1">
        <v>1</v>
      </c>
      <c r="K12" s="1">
        <v>3</v>
      </c>
      <c r="L12" s="1">
        <f>Tableau143[[#This Row],[Fréquence]]*Tableau143[[#This Row],[Gravité]]</f>
        <v>3</v>
      </c>
      <c r="M12" s="5" t="s">
        <v>230</v>
      </c>
      <c r="N12" s="1">
        <v>0.5</v>
      </c>
      <c r="O12" s="2">
        <f>Tableau143[[#This Row],[Priorité initiale]]*Tableau143[[#This Row],[Moyen de Maitrise]]</f>
        <v>1.5</v>
      </c>
      <c r="P12" s="6" t="str">
        <f t="shared" si="0"/>
        <v>P3</v>
      </c>
      <c r="Q12" s="5"/>
      <c r="R12" s="10"/>
      <c r="S12" s="4"/>
    </row>
    <row r="13" spans="1:21" ht="180.75" hidden="1" customHeight="1" x14ac:dyDescent="0.25">
      <c r="A13" s="8"/>
      <c r="B13" s="5" t="s">
        <v>6</v>
      </c>
      <c r="C13" s="5" t="s">
        <v>5</v>
      </c>
      <c r="D13" s="5" t="s">
        <v>4</v>
      </c>
      <c r="E13" s="7">
        <v>6</v>
      </c>
      <c r="F13" s="5" t="s">
        <v>48</v>
      </c>
      <c r="G13" s="5" t="s">
        <v>85</v>
      </c>
      <c r="H13" s="5" t="s">
        <v>46</v>
      </c>
      <c r="I13" s="5" t="s">
        <v>0</v>
      </c>
      <c r="J13" s="1">
        <v>3</v>
      </c>
      <c r="K13" s="1">
        <v>4</v>
      </c>
      <c r="L13" s="1">
        <f>Tableau143[[#This Row],[Fréquence]]*Tableau143[[#This Row],[Gravité]]</f>
        <v>12</v>
      </c>
      <c r="M13" s="5" t="s">
        <v>237</v>
      </c>
      <c r="N13" s="1">
        <v>0.5</v>
      </c>
      <c r="O13" s="2">
        <f>Tableau143[[#This Row],[Priorité initiale]]*Tableau143[[#This Row],[Moyen de Maitrise]]</f>
        <v>6</v>
      </c>
      <c r="P13" s="6" t="str">
        <f t="shared" si="0"/>
        <v>P2</v>
      </c>
      <c r="Q13" s="12" t="s">
        <v>284</v>
      </c>
      <c r="R13" s="10">
        <v>46128</v>
      </c>
      <c r="S13" s="5"/>
    </row>
    <row r="14" spans="1:21" ht="252" hidden="1" customHeight="1" x14ac:dyDescent="0.25">
      <c r="A14" s="8"/>
      <c r="B14" s="5" t="s">
        <v>6</v>
      </c>
      <c r="C14" s="5" t="s">
        <v>5</v>
      </c>
      <c r="D14" s="5" t="s">
        <v>4</v>
      </c>
      <c r="E14" s="7">
        <v>6</v>
      </c>
      <c r="F14" s="5" t="s">
        <v>48</v>
      </c>
      <c r="G14" s="5" t="s">
        <v>47</v>
      </c>
      <c r="H14" s="5" t="s">
        <v>46</v>
      </c>
      <c r="I14" s="5" t="s">
        <v>0</v>
      </c>
      <c r="J14" s="1">
        <v>2</v>
      </c>
      <c r="K14" s="1">
        <v>4</v>
      </c>
      <c r="L14" s="1">
        <f>Tableau143[[#This Row],[Fréquence]]*Tableau143[[#This Row],[Gravité]]</f>
        <v>8</v>
      </c>
      <c r="M14" s="12" t="s">
        <v>239</v>
      </c>
      <c r="N14" s="1">
        <v>0.5</v>
      </c>
      <c r="O14" s="2">
        <f>Tableau143[[#This Row],[Priorité initiale]]*Tableau143[[#This Row],[Moyen de Maitrise]]</f>
        <v>4</v>
      </c>
      <c r="P14" s="6" t="str">
        <f t="shared" si="0"/>
        <v>P2</v>
      </c>
      <c r="Q14" s="5"/>
      <c r="S14" s="4"/>
    </row>
    <row r="15" spans="1:21" ht="36.75" hidden="1" customHeight="1" x14ac:dyDescent="0.25">
      <c r="A15" s="8"/>
      <c r="B15" s="5" t="s">
        <v>6</v>
      </c>
      <c r="C15" s="5" t="s">
        <v>5</v>
      </c>
      <c r="D15" s="5" t="s">
        <v>4</v>
      </c>
      <c r="E15" s="7">
        <v>7</v>
      </c>
      <c r="F15" s="5" t="s">
        <v>45</v>
      </c>
      <c r="G15" s="5" t="s">
        <v>56</v>
      </c>
      <c r="H15" s="5" t="s">
        <v>55</v>
      </c>
      <c r="I15" s="5" t="s">
        <v>0</v>
      </c>
      <c r="J15" s="1">
        <v>1</v>
      </c>
      <c r="K15" s="1">
        <v>4</v>
      </c>
      <c r="L15" s="1">
        <f>Tableau143[[#This Row],[Fréquence]]*Tableau143[[#This Row],[Gravité]]</f>
        <v>4</v>
      </c>
      <c r="M15" s="5" t="s">
        <v>240</v>
      </c>
      <c r="N15" s="1">
        <v>0.5</v>
      </c>
      <c r="O15" s="2">
        <f>Tableau143[[#This Row],[Priorité initiale]]*Tableau143[[#This Row],[Moyen de Maitrise]]</f>
        <v>2</v>
      </c>
      <c r="P15" s="6" t="str">
        <f t="shared" si="0"/>
        <v>P3</v>
      </c>
      <c r="Q15" s="5"/>
    </row>
    <row r="16" spans="1:21" ht="112.5" hidden="1" customHeight="1" x14ac:dyDescent="0.25">
      <c r="A16" s="8"/>
      <c r="B16" s="5" t="s">
        <v>6</v>
      </c>
      <c r="C16" s="5" t="s">
        <v>5</v>
      </c>
      <c r="D16" s="5" t="s">
        <v>4</v>
      </c>
      <c r="E16" s="7">
        <v>7</v>
      </c>
      <c r="F16" s="5" t="s">
        <v>45</v>
      </c>
      <c r="G16" s="5" t="s">
        <v>54</v>
      </c>
      <c r="H16" s="5" t="s">
        <v>53</v>
      </c>
      <c r="I16" s="5" t="s">
        <v>0</v>
      </c>
      <c r="J16" s="1">
        <v>1</v>
      </c>
      <c r="K16" s="1">
        <v>4</v>
      </c>
      <c r="L16" s="1">
        <f>Tableau143[[#This Row],[Fréquence]]*Tableau143[[#This Row],[Gravité]]</f>
        <v>4</v>
      </c>
      <c r="M16" s="5" t="s">
        <v>241</v>
      </c>
      <c r="N16" s="1">
        <v>0.5</v>
      </c>
      <c r="O16" s="2">
        <f>Tableau143[[#This Row],[Priorité initiale]]*Tableau143[[#This Row],[Moyen de Maitrise]]</f>
        <v>2</v>
      </c>
      <c r="P16" s="6" t="str">
        <f t="shared" si="0"/>
        <v>P3</v>
      </c>
      <c r="Q16" s="5"/>
      <c r="R16" s="8"/>
      <c r="S16" s="5"/>
    </row>
    <row r="17" spans="1:19" ht="82.5" hidden="1" customHeight="1" x14ac:dyDescent="0.25">
      <c r="A17" s="8"/>
      <c r="B17" s="5" t="s">
        <v>6</v>
      </c>
      <c r="C17" s="5" t="s">
        <v>5</v>
      </c>
      <c r="D17" s="5" t="s">
        <v>4</v>
      </c>
      <c r="E17" s="7">
        <v>8</v>
      </c>
      <c r="F17" s="5" t="s">
        <v>52</v>
      </c>
      <c r="G17" s="5" t="s">
        <v>84</v>
      </c>
      <c r="H17" s="5" t="s">
        <v>44</v>
      </c>
      <c r="I17" s="5" t="s">
        <v>0</v>
      </c>
      <c r="J17" s="1">
        <v>2</v>
      </c>
      <c r="K17" s="1">
        <v>4</v>
      </c>
      <c r="L17" s="1">
        <f>Tableau143[[#This Row],[Fréquence]]*Tableau143[[#This Row],[Gravité]]</f>
        <v>8</v>
      </c>
      <c r="M17" s="5" t="s">
        <v>242</v>
      </c>
      <c r="N17" s="1">
        <v>0.5</v>
      </c>
      <c r="O17" s="2">
        <f>Tableau143[[#This Row],[Priorité initiale]]*Tableau143[[#This Row],[Moyen de Maitrise]]</f>
        <v>4</v>
      </c>
      <c r="P17" s="6" t="str">
        <f t="shared" si="0"/>
        <v>P2</v>
      </c>
      <c r="Q17" s="5"/>
    </row>
    <row r="18" spans="1:19" ht="204.75" hidden="1" customHeight="1" x14ac:dyDescent="0.25">
      <c r="A18" s="8"/>
      <c r="B18" s="5" t="s">
        <v>6</v>
      </c>
      <c r="C18" s="5" t="s">
        <v>5</v>
      </c>
      <c r="D18" s="5" t="s">
        <v>4</v>
      </c>
      <c r="E18" s="7">
        <v>8</v>
      </c>
      <c r="F18" s="5" t="s">
        <v>52</v>
      </c>
      <c r="G18" s="5" t="s">
        <v>51</v>
      </c>
      <c r="H18" s="5" t="s">
        <v>44</v>
      </c>
      <c r="I18" s="5" t="s">
        <v>0</v>
      </c>
      <c r="J18" s="1">
        <v>1</v>
      </c>
      <c r="K18" s="1">
        <v>4</v>
      </c>
      <c r="L18" s="1">
        <f>Tableau143[[#This Row],[Fréquence]]*Tableau143[[#This Row],[Gravité]]</f>
        <v>4</v>
      </c>
      <c r="M18" s="5" t="s">
        <v>243</v>
      </c>
      <c r="N18" s="1">
        <v>0.5</v>
      </c>
      <c r="O18" s="2">
        <f>Tableau143[[#This Row],[Priorité initiale]]*Tableau143[[#This Row],[Moyen de Maitrise]]</f>
        <v>2</v>
      </c>
      <c r="P18" s="6" t="str">
        <f t="shared" si="0"/>
        <v>P3</v>
      </c>
      <c r="Q18" s="5"/>
      <c r="S18" s="4"/>
    </row>
    <row r="19" spans="1:19" ht="60" hidden="1" x14ac:dyDescent="0.25">
      <c r="A19" s="11"/>
      <c r="B19" s="5" t="s">
        <v>6</v>
      </c>
      <c r="C19" s="5" t="s">
        <v>5</v>
      </c>
      <c r="D19" s="5" t="s">
        <v>4</v>
      </c>
      <c r="E19" s="7">
        <v>9</v>
      </c>
      <c r="F19" s="5" t="s">
        <v>175</v>
      </c>
      <c r="G19" s="5" t="s">
        <v>176</v>
      </c>
      <c r="H19" s="5" t="s">
        <v>177</v>
      </c>
      <c r="I19" s="5" t="s">
        <v>0</v>
      </c>
      <c r="J19" s="1">
        <v>1</v>
      </c>
      <c r="K19" s="1">
        <v>3</v>
      </c>
      <c r="L19" s="13">
        <f>Tableau143[[#This Row],[Fréquence]]*Tableau143[[#This Row],[Gravité]]</f>
        <v>3</v>
      </c>
      <c r="M19" s="9" t="s">
        <v>238</v>
      </c>
      <c r="N19" s="1">
        <v>0.5</v>
      </c>
      <c r="O19" s="2">
        <f>Tableau143[[#This Row],[Moyen de Maitrise]]*Tableau143[[#This Row],[Priorité initiale]]</f>
        <v>1.5</v>
      </c>
      <c r="P19" s="6" t="str">
        <f t="shared" si="0"/>
        <v>P3</v>
      </c>
      <c r="Q19" s="12"/>
      <c r="S19" s="14"/>
    </row>
    <row r="20" spans="1:19" ht="30" hidden="1" x14ac:dyDescent="0.25">
      <c r="A20" s="11"/>
      <c r="B20" s="5" t="s">
        <v>6</v>
      </c>
      <c r="C20" s="5" t="s">
        <v>5</v>
      </c>
      <c r="D20" s="5" t="s">
        <v>4</v>
      </c>
      <c r="E20" s="7">
        <v>10</v>
      </c>
      <c r="F20" s="5" t="s">
        <v>178</v>
      </c>
      <c r="G20" s="5" t="s">
        <v>179</v>
      </c>
      <c r="H20" s="5" t="s">
        <v>180</v>
      </c>
      <c r="I20" s="5" t="s">
        <v>0</v>
      </c>
      <c r="J20" s="1">
        <v>1</v>
      </c>
      <c r="K20" s="1">
        <v>4</v>
      </c>
      <c r="L20" s="13">
        <f>Tableau143[[#This Row],[Fréquence]]*Tableau143[[#This Row],[Gravité]]</f>
        <v>4</v>
      </c>
      <c r="M20" s="5" t="s">
        <v>188</v>
      </c>
      <c r="N20" s="1">
        <v>0.5</v>
      </c>
      <c r="O20" s="2">
        <f>Tableau143[[#This Row],[Moyen de Maitrise]]*Tableau143[[#This Row],[Priorité initiale]]</f>
        <v>2</v>
      </c>
      <c r="P20" s="6" t="str">
        <f t="shared" si="0"/>
        <v>P3</v>
      </c>
      <c r="Q20" s="12"/>
      <c r="S20" s="14"/>
    </row>
    <row r="21" spans="1:19" ht="30" hidden="1" x14ac:dyDescent="0.25">
      <c r="A21" s="11"/>
      <c r="B21" s="5" t="s">
        <v>6</v>
      </c>
      <c r="C21" s="5" t="s">
        <v>5</v>
      </c>
      <c r="D21" s="5" t="s">
        <v>4</v>
      </c>
      <c r="E21" s="7">
        <v>11</v>
      </c>
      <c r="F21" s="5" t="s">
        <v>181</v>
      </c>
      <c r="G21" s="5" t="s">
        <v>182</v>
      </c>
      <c r="H21" s="5" t="s">
        <v>183</v>
      </c>
      <c r="I21" s="5" t="s">
        <v>0</v>
      </c>
      <c r="J21" s="1">
        <v>2</v>
      </c>
      <c r="K21" s="1">
        <v>3</v>
      </c>
      <c r="L21" s="13">
        <f>Tableau143[[#This Row],[Fréquence]]*Tableau143[[#This Row],[Gravité]]</f>
        <v>6</v>
      </c>
      <c r="M21" s="5" t="s">
        <v>189</v>
      </c>
      <c r="N21" s="1">
        <v>0.5</v>
      </c>
      <c r="O21" s="2">
        <f>Tableau143[[#This Row],[Moyen de Maitrise]]*Tableau143[[#This Row],[Priorité initiale]]</f>
        <v>3</v>
      </c>
      <c r="P21" s="6" t="str">
        <f t="shared" si="0"/>
        <v>P3</v>
      </c>
      <c r="Q21" s="12"/>
      <c r="S21" s="14"/>
    </row>
    <row r="22" spans="1:19" ht="30" hidden="1" x14ac:dyDescent="0.25">
      <c r="A22" s="11"/>
      <c r="B22" s="5" t="s">
        <v>6</v>
      </c>
      <c r="C22" s="5" t="s">
        <v>5</v>
      </c>
      <c r="D22" s="5" t="s">
        <v>4</v>
      </c>
      <c r="E22" s="7">
        <v>11</v>
      </c>
      <c r="F22" s="5" t="s">
        <v>181</v>
      </c>
      <c r="G22" s="5" t="s">
        <v>184</v>
      </c>
      <c r="H22" s="5" t="s">
        <v>185</v>
      </c>
      <c r="I22" s="5" t="s">
        <v>0</v>
      </c>
      <c r="J22" s="1">
        <v>2</v>
      </c>
      <c r="K22" s="1">
        <v>3</v>
      </c>
      <c r="L22" s="13">
        <f>Tableau143[[#This Row],[Fréquence]]*Tableau143[[#This Row],[Gravité]]</f>
        <v>6</v>
      </c>
      <c r="M22" s="5" t="s">
        <v>244</v>
      </c>
      <c r="N22" s="1">
        <v>0.5</v>
      </c>
      <c r="O22" s="2">
        <f>Tableau143[[#This Row],[Moyen de Maitrise]]*Tableau143[[#This Row],[Priorité initiale]]</f>
        <v>3</v>
      </c>
      <c r="P22" s="6" t="str">
        <f t="shared" si="0"/>
        <v>P3</v>
      </c>
      <c r="Q22" s="12"/>
      <c r="S22" s="14"/>
    </row>
    <row r="23" spans="1:19" ht="45" hidden="1" x14ac:dyDescent="0.25">
      <c r="A23" s="11"/>
      <c r="B23" s="5" t="s">
        <v>6</v>
      </c>
      <c r="C23" s="5" t="s">
        <v>5</v>
      </c>
      <c r="D23" s="5" t="s">
        <v>4</v>
      </c>
      <c r="E23" s="7">
        <v>11</v>
      </c>
      <c r="F23" s="5" t="s">
        <v>181</v>
      </c>
      <c r="G23" s="5" t="s">
        <v>186</v>
      </c>
      <c r="H23" s="5" t="s">
        <v>187</v>
      </c>
      <c r="I23" s="5" t="s">
        <v>0</v>
      </c>
      <c r="J23" s="1">
        <v>1</v>
      </c>
      <c r="K23" s="1">
        <v>4</v>
      </c>
      <c r="L23" s="13">
        <f>Tableau143[[#This Row],[Fréquence]]*Tableau143[[#This Row],[Gravité]]</f>
        <v>4</v>
      </c>
      <c r="M23" s="5" t="s">
        <v>190</v>
      </c>
      <c r="N23" s="1">
        <v>0.5</v>
      </c>
      <c r="O23" s="2">
        <f>Tableau143[[#This Row],[Moyen de Maitrise]]*Tableau143[[#This Row],[Priorité initiale]]</f>
        <v>2</v>
      </c>
      <c r="P23" s="6" t="str">
        <f t="shared" si="0"/>
        <v>P3</v>
      </c>
      <c r="Q23" s="12"/>
      <c r="S23" s="14"/>
    </row>
    <row r="24" spans="1:19" ht="30" hidden="1" x14ac:dyDescent="0.25">
      <c r="A24" s="8"/>
      <c r="B24" s="5" t="s">
        <v>6</v>
      </c>
      <c r="C24" s="5" t="s">
        <v>5</v>
      </c>
      <c r="D24" s="5" t="s">
        <v>4</v>
      </c>
      <c r="E24" s="7">
        <v>13</v>
      </c>
      <c r="F24" s="5" t="s">
        <v>33</v>
      </c>
      <c r="G24" s="5" t="s">
        <v>32</v>
      </c>
      <c r="H24" s="5" t="s">
        <v>25</v>
      </c>
      <c r="I24" s="5" t="s">
        <v>0</v>
      </c>
      <c r="J24" s="1">
        <v>2</v>
      </c>
      <c r="K24" s="1">
        <v>3</v>
      </c>
      <c r="L24" s="1">
        <f>Tableau143[[#This Row],[Fréquence]]*Tableau143[[#This Row],[Gravité]]</f>
        <v>6</v>
      </c>
      <c r="M24" s="5" t="s">
        <v>83</v>
      </c>
      <c r="N24" s="1">
        <v>0.5</v>
      </c>
      <c r="O24" s="2">
        <f>Tableau143[[#This Row],[Priorité initiale]]*Tableau143[[#This Row],[Moyen de Maitrise]]</f>
        <v>3</v>
      </c>
      <c r="P24" s="6" t="str">
        <f t="shared" si="0"/>
        <v>P3</v>
      </c>
      <c r="Q24" s="5"/>
    </row>
    <row r="25" spans="1:19" ht="30" hidden="1" x14ac:dyDescent="0.25">
      <c r="A25" s="8"/>
      <c r="B25" s="5" t="s">
        <v>6</v>
      </c>
      <c r="C25" s="5" t="s">
        <v>5</v>
      </c>
      <c r="D25" s="5" t="s">
        <v>4</v>
      </c>
      <c r="E25" s="7">
        <v>13</v>
      </c>
      <c r="F25" s="5" t="s">
        <v>33</v>
      </c>
      <c r="G25" s="5" t="s">
        <v>34</v>
      </c>
      <c r="H25" s="5" t="s">
        <v>25</v>
      </c>
      <c r="I25" s="5" t="s">
        <v>0</v>
      </c>
      <c r="J25" s="1">
        <v>2</v>
      </c>
      <c r="K25" s="1">
        <v>3</v>
      </c>
      <c r="L25" s="1">
        <f>Tableau143[[#This Row],[Fréquence]]*Tableau143[[#This Row],[Gravité]]</f>
        <v>6</v>
      </c>
      <c r="M25" s="5" t="s">
        <v>83</v>
      </c>
      <c r="N25" s="1">
        <v>0.5</v>
      </c>
      <c r="O25" s="2">
        <f>Tableau143[[#This Row],[Priorité initiale]]*Tableau143[[#This Row],[Moyen de Maitrise]]</f>
        <v>3</v>
      </c>
      <c r="P25" s="6" t="str">
        <f t="shared" si="0"/>
        <v>P3</v>
      </c>
      <c r="Q25" s="5"/>
    </row>
    <row r="26" spans="1:19" ht="60" x14ac:dyDescent="0.25">
      <c r="A26" s="8"/>
      <c r="B26" s="5" t="s">
        <v>6</v>
      </c>
      <c r="C26" s="5" t="s">
        <v>5</v>
      </c>
      <c r="D26" s="5" t="s">
        <v>4</v>
      </c>
      <c r="E26" s="7">
        <v>15</v>
      </c>
      <c r="F26" s="5" t="s">
        <v>80</v>
      </c>
      <c r="G26" s="5" t="s">
        <v>148</v>
      </c>
      <c r="H26" s="5" t="s">
        <v>149</v>
      </c>
      <c r="I26" s="5" t="s">
        <v>0</v>
      </c>
      <c r="J26" s="1">
        <v>2</v>
      </c>
      <c r="K26" s="1">
        <v>3</v>
      </c>
      <c r="L26" s="1">
        <f>Tableau143[[#This Row],[Fréquence]]*Tableau143[[#This Row],[Gravité]]</f>
        <v>6</v>
      </c>
      <c r="M26" s="5"/>
      <c r="N26" s="1">
        <v>1</v>
      </c>
      <c r="O26" s="2">
        <f>Tableau143[[#This Row],[Priorité initiale]]*Tableau143[[#This Row],[Moyen de Maitrise]]</f>
        <v>6</v>
      </c>
      <c r="P26" s="6" t="str">
        <f t="shared" si="0"/>
        <v>P2</v>
      </c>
      <c r="Q26" s="5" t="s">
        <v>285</v>
      </c>
      <c r="R26" s="10"/>
      <c r="S26" s="4"/>
    </row>
    <row r="27" spans="1:19" ht="45" x14ac:dyDescent="0.25">
      <c r="A27" s="8"/>
      <c r="B27" s="5" t="s">
        <v>6</v>
      </c>
      <c r="C27" s="5" t="s">
        <v>5</v>
      </c>
      <c r="D27" s="5" t="s">
        <v>4</v>
      </c>
      <c r="E27" s="7">
        <v>15</v>
      </c>
      <c r="F27" s="5" t="s">
        <v>80</v>
      </c>
      <c r="G27" s="5" t="s">
        <v>82</v>
      </c>
      <c r="H27" s="5" t="s">
        <v>81</v>
      </c>
      <c r="I27" s="5" t="s">
        <v>0</v>
      </c>
      <c r="J27" s="1">
        <v>2</v>
      </c>
      <c r="K27" s="1">
        <v>3</v>
      </c>
      <c r="L27" s="1">
        <f>Tableau143[[#This Row],[Fréquence]]*Tableau143[[#This Row],[Gravité]]</f>
        <v>6</v>
      </c>
      <c r="M27" s="5" t="s">
        <v>245</v>
      </c>
      <c r="N27" s="1">
        <v>0.5</v>
      </c>
      <c r="O27" s="2">
        <f>Tableau143[[#This Row],[Priorité initiale]]*Tableau143[[#This Row],[Moyen de Maitrise]]</f>
        <v>3</v>
      </c>
      <c r="P27" s="6" t="str">
        <f t="shared" si="0"/>
        <v>P3</v>
      </c>
      <c r="Q27" s="5"/>
      <c r="R27" s="10"/>
      <c r="S27" s="4"/>
    </row>
    <row r="28" spans="1:19" ht="45" hidden="1" x14ac:dyDescent="0.25">
      <c r="A28" s="11"/>
      <c r="B28" s="5" t="s">
        <v>6</v>
      </c>
      <c r="C28" s="5" t="s">
        <v>5</v>
      </c>
      <c r="D28" s="5" t="s">
        <v>4</v>
      </c>
      <c r="E28" s="7">
        <v>16</v>
      </c>
      <c r="F28" s="5" t="s">
        <v>191</v>
      </c>
      <c r="G28" s="5" t="s">
        <v>192</v>
      </c>
      <c r="H28" s="5" t="s">
        <v>193</v>
      </c>
      <c r="I28" s="5" t="s">
        <v>0</v>
      </c>
      <c r="J28" s="1">
        <v>2</v>
      </c>
      <c r="K28" s="1">
        <v>3</v>
      </c>
      <c r="L28" s="13">
        <f>Tableau143[[#This Row],[Fréquence]]*Tableau143[[#This Row],[Gravité]]</f>
        <v>6</v>
      </c>
      <c r="M28" s="5" t="s">
        <v>194</v>
      </c>
      <c r="N28" s="1">
        <v>0.5</v>
      </c>
      <c r="O28" s="2">
        <f>Tableau143[[#This Row],[Moyen de Maitrise]]*Tableau143[[#This Row],[Priorité initiale]]</f>
        <v>3</v>
      </c>
      <c r="P28" s="6" t="str">
        <f t="shared" si="0"/>
        <v>P3</v>
      </c>
      <c r="Q28" s="12"/>
      <c r="R28" s="10"/>
      <c r="S28" s="14"/>
    </row>
    <row r="29" spans="1:19" ht="30" hidden="1" x14ac:dyDescent="0.25">
      <c r="A29" s="8"/>
      <c r="B29" s="5" t="s">
        <v>6</v>
      </c>
      <c r="C29" s="5" t="s">
        <v>5</v>
      </c>
      <c r="D29" s="5" t="s">
        <v>4</v>
      </c>
      <c r="E29" s="7">
        <v>17</v>
      </c>
      <c r="F29" s="5" t="s">
        <v>16</v>
      </c>
      <c r="G29" s="5" t="s">
        <v>79</v>
      </c>
      <c r="H29" s="5" t="s">
        <v>78</v>
      </c>
      <c r="I29" s="5" t="s">
        <v>0</v>
      </c>
      <c r="J29" s="1">
        <v>2</v>
      </c>
      <c r="K29" s="1">
        <v>3</v>
      </c>
      <c r="L29" s="1">
        <f>Tableau143[[#This Row],[Fréquence]]*Tableau143[[#This Row],[Gravité]]</f>
        <v>6</v>
      </c>
      <c r="M29" s="5" t="s">
        <v>77</v>
      </c>
      <c r="N29" s="1">
        <v>0.5</v>
      </c>
      <c r="O29" s="2">
        <f>Tableau143[[#This Row],[Priorité initiale]]*Tableau143[[#This Row],[Moyen de Maitrise]]</f>
        <v>3</v>
      </c>
      <c r="P29" s="6" t="str">
        <f t="shared" si="0"/>
        <v>P3</v>
      </c>
      <c r="Q29" s="5" t="s">
        <v>76</v>
      </c>
      <c r="R29" s="10"/>
      <c r="S29" s="4"/>
    </row>
    <row r="30" spans="1:19" ht="45" hidden="1" x14ac:dyDescent="0.25">
      <c r="A30" s="8"/>
      <c r="B30" s="5" t="s">
        <v>6</v>
      </c>
      <c r="C30" s="5" t="s">
        <v>5</v>
      </c>
      <c r="D30" s="5" t="s">
        <v>4</v>
      </c>
      <c r="E30" s="7">
        <v>17</v>
      </c>
      <c r="F30" s="5" t="s">
        <v>16</v>
      </c>
      <c r="G30" s="5" t="s">
        <v>15</v>
      </c>
      <c r="H30" s="5" t="s">
        <v>75</v>
      </c>
      <c r="I30" s="5" t="s">
        <v>0</v>
      </c>
      <c r="J30" s="1">
        <v>2</v>
      </c>
      <c r="K30" s="1">
        <v>2</v>
      </c>
      <c r="L30" s="1">
        <f>Tableau143[[#This Row],[Fréquence]]*Tableau143[[#This Row],[Gravité]]</f>
        <v>4</v>
      </c>
      <c r="M30" s="5" t="s">
        <v>246</v>
      </c>
      <c r="N30" s="1">
        <v>0.75</v>
      </c>
      <c r="O30" s="2">
        <f>Tableau143[[#This Row],[Priorité initiale]]*Tableau143[[#This Row],[Moyen de Maitrise]]</f>
        <v>3</v>
      </c>
      <c r="P30" s="6" t="str">
        <f t="shared" si="0"/>
        <v>P3</v>
      </c>
      <c r="Q30" s="5" t="s">
        <v>286</v>
      </c>
      <c r="R30" s="10"/>
      <c r="S30" s="4"/>
    </row>
    <row r="31" spans="1:19" ht="30" hidden="1" x14ac:dyDescent="0.25">
      <c r="A31" s="8"/>
      <c r="B31" s="5" t="s">
        <v>6</v>
      </c>
      <c r="C31" s="5" t="s">
        <v>5</v>
      </c>
      <c r="D31" s="5" t="s">
        <v>4</v>
      </c>
      <c r="E31" s="7">
        <v>18</v>
      </c>
      <c r="F31" s="5" t="s">
        <v>74</v>
      </c>
      <c r="G31" s="5" t="s">
        <v>73</v>
      </c>
      <c r="H31" s="5" t="s">
        <v>106</v>
      </c>
      <c r="I31" s="5" t="s">
        <v>0</v>
      </c>
      <c r="J31" s="1">
        <v>3</v>
      </c>
      <c r="K31" s="1">
        <v>4</v>
      </c>
      <c r="L31" s="1">
        <f>Tableau143[[#This Row],[Fréquence]]*Tableau143[[#This Row],[Gravité]]</f>
        <v>12</v>
      </c>
      <c r="M31" s="12" t="s">
        <v>247</v>
      </c>
      <c r="N31" s="1">
        <v>0.5</v>
      </c>
      <c r="O31" s="2">
        <f>Tableau143[[#This Row],[Priorité initiale]]*Tableau143[[#This Row],[Moyen de Maitrise]]</f>
        <v>6</v>
      </c>
      <c r="P31" s="6" t="str">
        <f t="shared" si="0"/>
        <v>P2</v>
      </c>
      <c r="Q31" s="5"/>
      <c r="R31" s="10"/>
      <c r="S31" s="4"/>
    </row>
    <row r="32" spans="1:19" ht="30" hidden="1" x14ac:dyDescent="0.25">
      <c r="A32" s="8"/>
      <c r="B32" s="5" t="s">
        <v>6</v>
      </c>
      <c r="C32" s="5" t="s">
        <v>5</v>
      </c>
      <c r="D32" s="5" t="s">
        <v>4</v>
      </c>
      <c r="E32" s="7">
        <v>18</v>
      </c>
      <c r="F32" s="5" t="s">
        <v>74</v>
      </c>
      <c r="G32" s="5" t="s">
        <v>99</v>
      </c>
      <c r="H32" s="5" t="s">
        <v>98</v>
      </c>
      <c r="I32" s="5" t="s">
        <v>0</v>
      </c>
      <c r="J32" s="1">
        <v>3</v>
      </c>
      <c r="K32" s="1">
        <v>3</v>
      </c>
      <c r="L32" s="1">
        <f>Tableau143[[#This Row],[Fréquence]]*Tableau143[[#This Row],[Gravité]]</f>
        <v>9</v>
      </c>
      <c r="M32" s="5" t="s">
        <v>97</v>
      </c>
      <c r="N32" s="1">
        <v>0.5</v>
      </c>
      <c r="O32" s="2">
        <f>Tableau143[[#This Row],[Priorité initiale]]*Tableau143[[#This Row],[Moyen de Maitrise]]</f>
        <v>4.5</v>
      </c>
      <c r="P32" s="6" t="str">
        <f t="shared" si="0"/>
        <v>P2</v>
      </c>
      <c r="Q32" s="5"/>
      <c r="R32" s="10"/>
    </row>
    <row r="33" spans="1:19" ht="63.75" hidden="1" customHeight="1" x14ac:dyDescent="0.25">
      <c r="A33" s="8"/>
      <c r="B33" s="5" t="s">
        <v>6</v>
      </c>
      <c r="C33" s="5" t="s">
        <v>5</v>
      </c>
      <c r="D33" s="5" t="s">
        <v>4</v>
      </c>
      <c r="E33" s="7">
        <v>18</v>
      </c>
      <c r="F33" s="5" t="s">
        <v>74</v>
      </c>
      <c r="G33" s="5" t="s">
        <v>150</v>
      </c>
      <c r="H33" s="5" t="s">
        <v>151</v>
      </c>
      <c r="I33" s="5" t="s">
        <v>0</v>
      </c>
      <c r="L33" s="1">
        <f>Tableau143[[#This Row],[Fréquence]]*Tableau143[[#This Row],[Gravité]]</f>
        <v>0</v>
      </c>
      <c r="M33" s="5" t="s">
        <v>129</v>
      </c>
      <c r="O33" s="2">
        <f>Tableau143[[#This Row],[Priorité initiale]]*Tableau143[[#This Row],[Moyen de Maitrise]]</f>
        <v>0</v>
      </c>
      <c r="P33" s="6" t="str">
        <f t="shared" si="0"/>
        <v>P3</v>
      </c>
      <c r="Q33" s="5"/>
    </row>
    <row r="34" spans="1:19" ht="45" hidden="1" x14ac:dyDescent="0.25">
      <c r="A34" s="8"/>
      <c r="B34" s="5" t="s">
        <v>6</v>
      </c>
      <c r="C34" s="5" t="s">
        <v>5</v>
      </c>
      <c r="D34" s="5" t="s">
        <v>4</v>
      </c>
      <c r="E34" s="7">
        <v>19</v>
      </c>
      <c r="F34" s="5" t="s">
        <v>28</v>
      </c>
      <c r="G34" s="5" t="s">
        <v>31</v>
      </c>
      <c r="H34" s="5" t="s">
        <v>30</v>
      </c>
      <c r="I34" s="5" t="s">
        <v>0</v>
      </c>
      <c r="J34" s="1">
        <v>1</v>
      </c>
      <c r="K34" s="1">
        <v>3</v>
      </c>
      <c r="L34" s="1">
        <f>Tableau143[[#This Row],[Fréquence]]*Tableau143[[#This Row],[Gravité]]</f>
        <v>3</v>
      </c>
      <c r="M34" s="5" t="s">
        <v>29</v>
      </c>
      <c r="N34" s="1">
        <v>0.5</v>
      </c>
      <c r="O34" s="2">
        <f>Tableau143[[#This Row],[Priorité initiale]]*Tableau143[[#This Row],[Moyen de Maitrise]]</f>
        <v>1.5</v>
      </c>
      <c r="P34" s="6" t="str">
        <f t="shared" si="0"/>
        <v>P3</v>
      </c>
      <c r="Q34" s="5"/>
      <c r="S34" s="4"/>
    </row>
    <row r="35" spans="1:19" ht="39" hidden="1" customHeight="1" x14ac:dyDescent="0.25">
      <c r="A35" s="8"/>
      <c r="B35" s="5" t="s">
        <v>6</v>
      </c>
      <c r="C35" s="5" t="s">
        <v>5</v>
      </c>
      <c r="D35" s="5" t="s">
        <v>4</v>
      </c>
      <c r="E35" s="7">
        <v>19</v>
      </c>
      <c r="F35" s="5" t="s">
        <v>28</v>
      </c>
      <c r="G35" s="5" t="s">
        <v>27</v>
      </c>
      <c r="H35" s="5" t="s">
        <v>26</v>
      </c>
      <c r="I35" s="5" t="s">
        <v>0</v>
      </c>
      <c r="J35" s="1">
        <v>1</v>
      </c>
      <c r="K35" s="1">
        <v>3</v>
      </c>
      <c r="L35" s="1">
        <f>Tableau143[[#This Row],[Fréquence]]*Tableau143[[#This Row],[Gravité]]</f>
        <v>3</v>
      </c>
      <c r="M35" s="5" t="s">
        <v>248</v>
      </c>
      <c r="N35" s="1">
        <v>0.5</v>
      </c>
      <c r="O35" s="2">
        <f>Tableau143[[#This Row],[Priorité initiale]]*Tableau143[[#This Row],[Moyen de Maitrise]]</f>
        <v>1.5</v>
      </c>
      <c r="P35" s="6" t="str">
        <f t="shared" si="0"/>
        <v>P3</v>
      </c>
      <c r="Q35" s="5"/>
      <c r="S35" s="4"/>
    </row>
    <row r="36" spans="1:19" ht="90" hidden="1" x14ac:dyDescent="0.25">
      <c r="A36" s="8"/>
      <c r="B36" s="5" t="s">
        <v>6</v>
      </c>
      <c r="C36" s="5" t="s">
        <v>5</v>
      </c>
      <c r="D36" s="5" t="s">
        <v>4</v>
      </c>
      <c r="E36" s="7">
        <v>20</v>
      </c>
      <c r="F36" s="5" t="s">
        <v>50</v>
      </c>
      <c r="G36" s="5" t="s">
        <v>72</v>
      </c>
      <c r="H36" s="5" t="s">
        <v>71</v>
      </c>
      <c r="I36" s="5" t="s">
        <v>0</v>
      </c>
      <c r="J36" s="1">
        <v>1</v>
      </c>
      <c r="K36" s="1">
        <v>4</v>
      </c>
      <c r="L36" s="1">
        <f>Tableau143[[#This Row],[Fréquence]]*Tableau143[[#This Row],[Gravité]]</f>
        <v>4</v>
      </c>
      <c r="M36" s="5" t="s">
        <v>249</v>
      </c>
      <c r="N36" s="1">
        <v>0.75</v>
      </c>
      <c r="O36" s="2">
        <f>Tableau143[[#This Row],[Priorité initiale]]*Tableau143[[#This Row],[Moyen de Maitrise]]</f>
        <v>3</v>
      </c>
      <c r="P36" s="6" t="str">
        <f t="shared" si="0"/>
        <v>P3</v>
      </c>
      <c r="Q36" s="5" t="s">
        <v>287</v>
      </c>
      <c r="S36" s="4"/>
    </row>
    <row r="37" spans="1:19" ht="45" hidden="1" x14ac:dyDescent="0.25">
      <c r="A37" s="8"/>
      <c r="B37" s="5" t="s">
        <v>6</v>
      </c>
      <c r="C37" s="5" t="s">
        <v>5</v>
      </c>
      <c r="D37" s="5" t="s">
        <v>4</v>
      </c>
      <c r="E37" s="7">
        <v>21</v>
      </c>
      <c r="F37" s="5" t="s">
        <v>137</v>
      </c>
      <c r="G37" s="12" t="s">
        <v>138</v>
      </c>
      <c r="H37" s="5" t="s">
        <v>130</v>
      </c>
      <c r="I37" s="5" t="s">
        <v>0</v>
      </c>
      <c r="J37" s="1">
        <v>2</v>
      </c>
      <c r="K37" s="1">
        <v>3</v>
      </c>
      <c r="L37" s="1">
        <f>Tableau143[[#This Row],[Fréquence]]*Tableau143[[#This Row],[Gravité]]</f>
        <v>6</v>
      </c>
      <c r="M37" s="15" t="s">
        <v>250</v>
      </c>
      <c r="N37" s="1">
        <v>0.5</v>
      </c>
      <c r="O37" s="2">
        <f>Tableau143[[#This Row],[Priorité initiale]]*Tableau143[[#This Row],[Moyen de Maitrise]]</f>
        <v>3</v>
      </c>
      <c r="P37" s="6" t="str">
        <f t="shared" si="0"/>
        <v>P3</v>
      </c>
      <c r="Q37" s="12"/>
      <c r="R37" s="10"/>
    </row>
    <row r="38" spans="1:19" ht="165" hidden="1" x14ac:dyDescent="0.25">
      <c r="A38" s="8"/>
      <c r="B38" s="5" t="s">
        <v>6</v>
      </c>
      <c r="C38" s="5" t="s">
        <v>5</v>
      </c>
      <c r="D38" s="5" t="s">
        <v>4</v>
      </c>
      <c r="E38" s="7">
        <v>42</v>
      </c>
      <c r="F38" s="5" t="s">
        <v>49</v>
      </c>
      <c r="G38" s="5" t="s">
        <v>165</v>
      </c>
      <c r="H38" s="5" t="s">
        <v>70</v>
      </c>
      <c r="I38" s="5" t="s">
        <v>0</v>
      </c>
      <c r="J38" s="1">
        <v>1</v>
      </c>
      <c r="K38" s="1">
        <v>4</v>
      </c>
      <c r="L38" s="1">
        <f>Tableau143[[#This Row],[Fréquence]]*Tableau143[[#This Row],[Gravité]]</f>
        <v>4</v>
      </c>
      <c r="M38" s="5" t="s">
        <v>251</v>
      </c>
      <c r="N38" s="1">
        <v>1</v>
      </c>
      <c r="O38" s="2">
        <f>Tableau143[[#This Row],[Priorité initiale]]*Tableau143[[#This Row],[Moyen de Maitrise]]</f>
        <v>4</v>
      </c>
      <c r="P38" s="6" t="str">
        <f t="shared" si="0"/>
        <v>P2</v>
      </c>
      <c r="Q38" s="5"/>
      <c r="R38" s="10"/>
      <c r="S38" s="4"/>
    </row>
    <row r="39" spans="1:19" ht="75" hidden="1" x14ac:dyDescent="0.25">
      <c r="A39" s="8"/>
      <c r="B39" s="5" t="s">
        <v>6</v>
      </c>
      <c r="C39" s="5" t="s">
        <v>5</v>
      </c>
      <c r="D39" s="5" t="s">
        <v>4</v>
      </c>
      <c r="E39" s="7">
        <v>24</v>
      </c>
      <c r="F39" s="12" t="s">
        <v>13</v>
      </c>
      <c r="G39" s="12" t="s">
        <v>139</v>
      </c>
      <c r="H39" s="5" t="s">
        <v>140</v>
      </c>
      <c r="I39" s="5" t="s">
        <v>0</v>
      </c>
      <c r="J39" s="1">
        <v>3</v>
      </c>
      <c r="K39" s="1">
        <v>3</v>
      </c>
      <c r="L39" s="1">
        <f>Tableau143[[#This Row],[Fréquence]]*Tableau143[[#This Row],[Gravité]]</f>
        <v>9</v>
      </c>
      <c r="M39" s="9" t="s">
        <v>252</v>
      </c>
      <c r="N39" s="1">
        <v>0.75</v>
      </c>
      <c r="O39" s="2">
        <f>Tableau143[[#This Row],[Priorité initiale]]*Tableau143[[#This Row],[Moyen de Maitrise]]</f>
        <v>6.75</v>
      </c>
      <c r="P39" s="6" t="str">
        <f t="shared" si="0"/>
        <v>P2</v>
      </c>
      <c r="Q39" s="12"/>
      <c r="R39" s="10"/>
      <c r="S39" s="14"/>
    </row>
    <row r="40" spans="1:19" ht="45" hidden="1" x14ac:dyDescent="0.25">
      <c r="A40" s="8"/>
      <c r="B40" s="5" t="s">
        <v>6</v>
      </c>
      <c r="C40" s="5" t="s">
        <v>5</v>
      </c>
      <c r="D40" s="5" t="s">
        <v>4</v>
      </c>
      <c r="E40" s="7">
        <v>24</v>
      </c>
      <c r="F40" s="12" t="s">
        <v>13</v>
      </c>
      <c r="G40" s="5" t="s">
        <v>141</v>
      </c>
      <c r="H40" s="5" t="s">
        <v>142</v>
      </c>
      <c r="I40" s="5" t="s">
        <v>0</v>
      </c>
      <c r="J40" s="1">
        <v>3</v>
      </c>
      <c r="K40" s="1">
        <v>2</v>
      </c>
      <c r="L40" s="1">
        <f>Tableau143[[#This Row],[Fréquence]]*Tableau143[[#This Row],[Gravité]]</f>
        <v>6</v>
      </c>
      <c r="M40" s="5" t="s">
        <v>253</v>
      </c>
      <c r="N40" s="1">
        <v>0.5</v>
      </c>
      <c r="O40" s="2">
        <f>Tableau143[[#This Row],[Priorité initiale]]*Tableau143[[#This Row],[Moyen de Maitrise]]</f>
        <v>3</v>
      </c>
      <c r="P40" s="6" t="str">
        <f t="shared" si="0"/>
        <v>P3</v>
      </c>
      <c r="Q40" s="5"/>
      <c r="R40" s="10"/>
    </row>
    <row r="41" spans="1:19" ht="30" hidden="1" x14ac:dyDescent="0.25">
      <c r="A41" s="8"/>
      <c r="B41" s="5" t="s">
        <v>6</v>
      </c>
      <c r="C41" s="5" t="s">
        <v>5</v>
      </c>
      <c r="D41" s="5" t="s">
        <v>4</v>
      </c>
      <c r="E41" s="7">
        <v>24</v>
      </c>
      <c r="F41" s="12" t="s">
        <v>13</v>
      </c>
      <c r="G41" s="5" t="s">
        <v>12</v>
      </c>
      <c r="H41" s="5" t="s">
        <v>11</v>
      </c>
      <c r="I41" s="5" t="s">
        <v>0</v>
      </c>
      <c r="J41" s="1">
        <v>3</v>
      </c>
      <c r="K41" s="1">
        <v>3</v>
      </c>
      <c r="L41" s="1">
        <f>Tableau143[[#This Row],[Fréquence]]*Tableau143[[#This Row],[Gravité]]</f>
        <v>9</v>
      </c>
      <c r="M41" s="5" t="s">
        <v>69</v>
      </c>
      <c r="N41" s="1">
        <v>0.5</v>
      </c>
      <c r="O41" s="2">
        <f>Tableau143[[#This Row],[Priorité initiale]]*Tableau143[[#This Row],[Moyen de Maitrise]]</f>
        <v>4.5</v>
      </c>
      <c r="P41" s="6" t="str">
        <f t="shared" si="0"/>
        <v>P2</v>
      </c>
      <c r="Q41" s="5"/>
      <c r="R41" s="10"/>
    </row>
    <row r="42" spans="1:19" ht="30" hidden="1" x14ac:dyDescent="0.25">
      <c r="A42" s="11"/>
      <c r="B42" s="5" t="s">
        <v>6</v>
      </c>
      <c r="C42" s="5" t="s">
        <v>5</v>
      </c>
      <c r="D42" s="5" t="s">
        <v>4</v>
      </c>
      <c r="E42" s="7">
        <v>25</v>
      </c>
      <c r="F42" s="5" t="s">
        <v>195</v>
      </c>
      <c r="G42" s="5" t="s">
        <v>196</v>
      </c>
      <c r="H42" s="5" t="s">
        <v>197</v>
      </c>
      <c r="I42" s="9" t="s">
        <v>0</v>
      </c>
      <c r="J42" s="1">
        <v>1</v>
      </c>
      <c r="K42" s="1">
        <v>4</v>
      </c>
      <c r="L42" s="13">
        <f>Tableau143[[#This Row],[Fréquence]]*Tableau143[[#This Row],[Gravité]]</f>
        <v>4</v>
      </c>
      <c r="M42" s="5" t="s">
        <v>198</v>
      </c>
      <c r="N42" s="1">
        <v>0.5</v>
      </c>
      <c r="O42" s="2">
        <f>Tableau143[[#This Row],[Moyen de Maitrise]]*Tableau143[[#This Row],[Priorité initiale]]</f>
        <v>2</v>
      </c>
      <c r="P42" s="6" t="str">
        <f t="shared" si="0"/>
        <v>P3</v>
      </c>
      <c r="Q42" s="12"/>
      <c r="R42" s="10"/>
    </row>
    <row r="43" spans="1:19" ht="75" hidden="1" x14ac:dyDescent="0.25">
      <c r="A43" s="8"/>
      <c r="B43" s="5" t="s">
        <v>6</v>
      </c>
      <c r="C43" s="5" t="s">
        <v>5</v>
      </c>
      <c r="D43" s="5" t="s">
        <v>4</v>
      </c>
      <c r="E43" s="7">
        <v>26</v>
      </c>
      <c r="F43" s="5" t="s">
        <v>24</v>
      </c>
      <c r="G43" s="5" t="s">
        <v>68</v>
      </c>
      <c r="H43" s="5" t="s">
        <v>67</v>
      </c>
      <c r="I43" s="9" t="s">
        <v>0</v>
      </c>
      <c r="J43" s="1">
        <v>2</v>
      </c>
      <c r="K43" s="1">
        <v>2</v>
      </c>
      <c r="L43" s="1">
        <f>Tableau143[[#This Row],[Fréquence]]*Tableau143[[#This Row],[Gravité]]</f>
        <v>4</v>
      </c>
      <c r="M43" s="5" t="s">
        <v>254</v>
      </c>
      <c r="N43" s="1">
        <v>0.75</v>
      </c>
      <c r="O43" s="2">
        <f>Tableau143[[#This Row],[Priorité initiale]]*Tableau143[[#This Row],[Moyen de Maitrise]]</f>
        <v>3</v>
      </c>
      <c r="P43" s="6" t="str">
        <f t="shared" si="0"/>
        <v>P3</v>
      </c>
      <c r="Q43" s="5"/>
      <c r="S43" s="4"/>
    </row>
    <row r="44" spans="1:19" ht="30" hidden="1" x14ac:dyDescent="0.25">
      <c r="A44" s="8"/>
      <c r="B44" s="5" t="s">
        <v>6</v>
      </c>
      <c r="C44" s="5" t="s">
        <v>5</v>
      </c>
      <c r="D44" s="5" t="s">
        <v>4</v>
      </c>
      <c r="E44" s="7">
        <v>26</v>
      </c>
      <c r="F44" s="5" t="s">
        <v>24</v>
      </c>
      <c r="G44" s="5" t="s">
        <v>23</v>
      </c>
      <c r="H44" s="5" t="s">
        <v>22</v>
      </c>
      <c r="I44" s="9" t="s">
        <v>0</v>
      </c>
      <c r="J44" s="1">
        <v>1</v>
      </c>
      <c r="K44" s="1">
        <v>3</v>
      </c>
      <c r="L44" s="1">
        <f>Tableau143[[#This Row],[Fréquence]]*Tableau143[[#This Row],[Gravité]]</f>
        <v>3</v>
      </c>
      <c r="M44" s="5" t="s">
        <v>21</v>
      </c>
      <c r="N44" s="1">
        <v>0.5</v>
      </c>
      <c r="O44" s="2">
        <f>Tableau143[[#This Row],[Priorité initiale]]*Tableau143[[#This Row],[Moyen de Maitrise]]</f>
        <v>1.5</v>
      </c>
      <c r="P44" s="6" t="str">
        <f t="shared" si="0"/>
        <v>P3</v>
      </c>
      <c r="Q44" s="5"/>
      <c r="S44" s="4"/>
    </row>
    <row r="45" spans="1:19" ht="75" hidden="1" x14ac:dyDescent="0.25">
      <c r="A45" s="8"/>
      <c r="B45" s="5" t="s">
        <v>6</v>
      </c>
      <c r="C45" s="5" t="s">
        <v>5</v>
      </c>
      <c r="D45" s="5" t="s">
        <v>4</v>
      </c>
      <c r="E45" s="7">
        <v>26</v>
      </c>
      <c r="F45" s="5" t="s">
        <v>24</v>
      </c>
      <c r="G45" s="5" t="s">
        <v>159</v>
      </c>
      <c r="H45" s="5" t="s">
        <v>158</v>
      </c>
      <c r="I45" s="9" t="s">
        <v>0</v>
      </c>
      <c r="J45" s="1">
        <v>4</v>
      </c>
      <c r="K45" s="1">
        <v>2</v>
      </c>
      <c r="L45" s="1">
        <f>Tableau143[[#This Row],[Fréquence]]*Tableau143[[#This Row],[Gravité]]</f>
        <v>8</v>
      </c>
      <c r="M45" s="5" t="s">
        <v>255</v>
      </c>
      <c r="N45" s="1">
        <v>0.5</v>
      </c>
      <c r="O45" s="2">
        <f>Tableau143[[#This Row],[Priorité initiale]]*Tableau143[[#This Row],[Moyen de Maitrise]]</f>
        <v>4</v>
      </c>
      <c r="P45" s="6" t="str">
        <f t="shared" si="0"/>
        <v>P2</v>
      </c>
      <c r="Q45" s="5"/>
    </row>
    <row r="46" spans="1:19" ht="105.75" hidden="1" customHeight="1" x14ac:dyDescent="0.25">
      <c r="A46" s="8"/>
      <c r="B46" s="5" t="s">
        <v>6</v>
      </c>
      <c r="C46" s="5" t="s">
        <v>5</v>
      </c>
      <c r="D46" s="5" t="s">
        <v>4</v>
      </c>
      <c r="E46" s="7">
        <v>27</v>
      </c>
      <c r="F46" s="5" t="s">
        <v>14</v>
      </c>
      <c r="G46" s="5" t="s">
        <v>143</v>
      </c>
      <c r="H46" s="5" t="s">
        <v>144</v>
      </c>
      <c r="I46" s="5" t="s">
        <v>0</v>
      </c>
      <c r="J46" s="1">
        <v>2</v>
      </c>
      <c r="K46" s="1">
        <v>3</v>
      </c>
      <c r="L46" s="1">
        <f>Tableau143[[#This Row],[Fréquence]]*Tableau143[[#This Row],[Gravité]]</f>
        <v>6</v>
      </c>
      <c r="M46" s="5" t="s">
        <v>256</v>
      </c>
      <c r="N46" s="1">
        <v>0.5</v>
      </c>
      <c r="O46" s="2">
        <f>Tableau143[[#This Row],[Priorité initiale]]*Tableau143[[#This Row],[Moyen de Maitrise]]</f>
        <v>3</v>
      </c>
      <c r="P46" s="6" t="str">
        <f t="shared" si="0"/>
        <v>P3</v>
      </c>
      <c r="Q46" s="5" t="s">
        <v>281</v>
      </c>
      <c r="R46" s="10"/>
    </row>
    <row r="47" spans="1:19" ht="75" hidden="1" x14ac:dyDescent="0.25">
      <c r="A47" s="11"/>
      <c r="B47" s="5" t="s">
        <v>6</v>
      </c>
      <c r="C47" s="5" t="s">
        <v>5</v>
      </c>
      <c r="D47" s="5" t="s">
        <v>4</v>
      </c>
      <c r="E47" s="7">
        <v>28</v>
      </c>
      <c r="F47" s="5" t="s">
        <v>199</v>
      </c>
      <c r="G47" s="5" t="s">
        <v>200</v>
      </c>
      <c r="H47" s="5" t="s">
        <v>201</v>
      </c>
      <c r="I47" s="9" t="s">
        <v>0</v>
      </c>
      <c r="J47" s="1">
        <v>3</v>
      </c>
      <c r="K47" s="1">
        <v>2</v>
      </c>
      <c r="L47" s="13">
        <f>Tableau143[[#This Row],[Fréquence]]*Tableau143[[#This Row],[Gravité]]</f>
        <v>6</v>
      </c>
      <c r="M47" s="5" t="s">
        <v>207</v>
      </c>
      <c r="N47" s="1">
        <v>0.5</v>
      </c>
      <c r="O47" s="2">
        <f>Tableau143[[#This Row],[Moyen de Maitrise]]*Tableau143[[#This Row],[Priorité initiale]]</f>
        <v>3</v>
      </c>
      <c r="P47" s="6" t="str">
        <f t="shared" si="0"/>
        <v>P3</v>
      </c>
      <c r="Q47" s="5" t="s">
        <v>208</v>
      </c>
      <c r="R47" s="10"/>
    </row>
    <row r="48" spans="1:19" ht="90" hidden="1" customHeight="1" x14ac:dyDescent="0.25">
      <c r="A48" s="11"/>
      <c r="B48" s="5" t="s">
        <v>6</v>
      </c>
      <c r="C48" s="5" t="s">
        <v>5</v>
      </c>
      <c r="D48" s="5" t="s">
        <v>4</v>
      </c>
      <c r="E48" s="7">
        <v>29</v>
      </c>
      <c r="F48" s="5" t="s">
        <v>202</v>
      </c>
      <c r="G48" s="5" t="s">
        <v>203</v>
      </c>
      <c r="H48" s="5" t="s">
        <v>204</v>
      </c>
      <c r="I48" s="9" t="s">
        <v>0</v>
      </c>
      <c r="J48" s="1">
        <v>3</v>
      </c>
      <c r="K48" s="1">
        <v>3</v>
      </c>
      <c r="L48" s="13">
        <f>Tableau143[[#This Row],[Fréquence]]*Tableau143[[#This Row],[Gravité]]</f>
        <v>9</v>
      </c>
      <c r="M48" s="5" t="s">
        <v>257</v>
      </c>
      <c r="N48" s="1">
        <v>0.75</v>
      </c>
      <c r="O48" s="2">
        <f>Tableau143[[#This Row],[Moyen de Maitrise]]*Tableau143[[#This Row],[Priorité initiale]]</f>
        <v>6.75</v>
      </c>
      <c r="P48" s="6" t="str">
        <f t="shared" si="0"/>
        <v>P2</v>
      </c>
      <c r="Q48" s="5" t="s">
        <v>288</v>
      </c>
      <c r="R48" s="10"/>
    </row>
    <row r="49" spans="1:20" ht="136.5" hidden="1" customHeight="1" x14ac:dyDescent="0.25">
      <c r="A49" s="11"/>
      <c r="B49" s="5" t="s">
        <v>6</v>
      </c>
      <c r="C49" s="5" t="s">
        <v>5</v>
      </c>
      <c r="D49" s="5" t="s">
        <v>4</v>
      </c>
      <c r="E49" s="7">
        <v>29</v>
      </c>
      <c r="F49" s="5" t="s">
        <v>202</v>
      </c>
      <c r="G49" s="5" t="s">
        <v>205</v>
      </c>
      <c r="H49" s="5" t="s">
        <v>206</v>
      </c>
      <c r="I49" s="9" t="s">
        <v>0</v>
      </c>
      <c r="J49" s="1">
        <v>1</v>
      </c>
      <c r="K49" s="1">
        <v>4</v>
      </c>
      <c r="L49" s="13">
        <f>Tableau143[[#This Row],[Fréquence]]*Tableau143[[#This Row],[Gravité]]</f>
        <v>4</v>
      </c>
      <c r="M49" s="12" t="s">
        <v>259</v>
      </c>
      <c r="N49" s="1">
        <v>0.5</v>
      </c>
      <c r="O49" s="2">
        <f>Tableau143[[#This Row],[Moyen de Maitrise]]*Tableau143[[#This Row],[Priorité initiale]]</f>
        <v>2</v>
      </c>
      <c r="P49" s="6" t="str">
        <f t="shared" si="0"/>
        <v>P3</v>
      </c>
      <c r="Q49" s="5" t="s">
        <v>209</v>
      </c>
      <c r="R49" s="10"/>
    </row>
    <row r="50" spans="1:20" ht="122.25" hidden="1" customHeight="1" x14ac:dyDescent="0.25">
      <c r="A50" s="8"/>
      <c r="B50" s="5" t="s">
        <v>6</v>
      </c>
      <c r="C50" s="5" t="s">
        <v>5</v>
      </c>
      <c r="D50" s="5" t="s">
        <v>4</v>
      </c>
      <c r="E50" s="7">
        <v>31</v>
      </c>
      <c r="F50" s="5" t="s">
        <v>43</v>
      </c>
      <c r="G50" s="5" t="s">
        <v>42</v>
      </c>
      <c r="H50" s="5" t="s">
        <v>105</v>
      </c>
      <c r="I50" s="9" t="s">
        <v>0</v>
      </c>
      <c r="J50" s="1">
        <v>3</v>
      </c>
      <c r="K50" s="1">
        <v>4</v>
      </c>
      <c r="L50" s="1">
        <f>Tableau143[[#This Row],[Fréquence]]*Tableau143[[#This Row],[Gravité]]</f>
        <v>12</v>
      </c>
      <c r="M50" s="5" t="s">
        <v>104</v>
      </c>
      <c r="N50" s="1">
        <v>0.5</v>
      </c>
      <c r="O50" s="2">
        <f>Tableau143[[#This Row],[Priorité initiale]]*Tableau143[[#This Row],[Moyen de Maitrise]]</f>
        <v>6</v>
      </c>
      <c r="P50" s="6" t="str">
        <f t="shared" si="0"/>
        <v>P2</v>
      </c>
      <c r="Q50" s="5"/>
    </row>
    <row r="51" spans="1:20" ht="60" hidden="1" x14ac:dyDescent="0.25">
      <c r="A51" s="8"/>
      <c r="B51" s="5" t="s">
        <v>6</v>
      </c>
      <c r="C51" s="5" t="s">
        <v>5</v>
      </c>
      <c r="D51" s="5" t="s">
        <v>4</v>
      </c>
      <c r="E51" s="7">
        <v>32</v>
      </c>
      <c r="F51" s="5" t="s">
        <v>39</v>
      </c>
      <c r="G51" s="5" t="s">
        <v>38</v>
      </c>
      <c r="H51" s="5" t="s">
        <v>37</v>
      </c>
      <c r="I51" s="5" t="s">
        <v>0</v>
      </c>
      <c r="J51" s="1">
        <v>3</v>
      </c>
      <c r="K51" s="1">
        <v>2</v>
      </c>
      <c r="L51" s="1">
        <f>Tableau143[[#This Row],[Fréquence]]*Tableau143[[#This Row],[Gravité]]</f>
        <v>6</v>
      </c>
      <c r="M51" s="5" t="s">
        <v>260</v>
      </c>
      <c r="N51" s="1">
        <v>0.5</v>
      </c>
      <c r="O51" s="2">
        <f>Tableau143[[#This Row],[Priorité initiale]]*Tableau143[[#This Row],[Moyen de Maitrise]]</f>
        <v>3</v>
      </c>
      <c r="P51" s="6" t="str">
        <f t="shared" si="0"/>
        <v>P3</v>
      </c>
      <c r="Q51" s="5"/>
      <c r="R51" s="10"/>
    </row>
    <row r="52" spans="1:20" ht="180.75" hidden="1" customHeight="1" x14ac:dyDescent="0.25">
      <c r="A52" s="8"/>
      <c r="B52" s="5" t="s">
        <v>6</v>
      </c>
      <c r="C52" s="5" t="s">
        <v>5</v>
      </c>
      <c r="D52" s="5" t="s">
        <v>4</v>
      </c>
      <c r="E52" s="7">
        <v>33</v>
      </c>
      <c r="F52" s="5" t="s">
        <v>10</v>
      </c>
      <c r="G52" s="5" t="s">
        <v>90</v>
      </c>
      <c r="H52" s="5" t="s">
        <v>89</v>
      </c>
      <c r="I52" s="9" t="s">
        <v>0</v>
      </c>
      <c r="J52" s="1">
        <v>1</v>
      </c>
      <c r="K52" s="1">
        <v>4</v>
      </c>
      <c r="L52" s="1">
        <f>Tableau143[[#This Row],[Fréquence]]*Tableau143[[#This Row],[Gravité]]</f>
        <v>4</v>
      </c>
      <c r="M52" s="5" t="s">
        <v>261</v>
      </c>
      <c r="N52" s="1">
        <v>1</v>
      </c>
      <c r="O52" s="2">
        <f>Tableau143[[#This Row],[Priorité initiale]]*Tableau143[[#This Row],[Moyen de Maitrise]]</f>
        <v>4</v>
      </c>
      <c r="P52" s="6" t="str">
        <f t="shared" si="0"/>
        <v>P2</v>
      </c>
      <c r="Q52" s="5" t="s">
        <v>289</v>
      </c>
    </row>
    <row r="53" spans="1:20" ht="60" hidden="1" x14ac:dyDescent="0.25">
      <c r="A53" s="8"/>
      <c r="B53" s="5" t="s">
        <v>6</v>
      </c>
      <c r="C53" s="5" t="s">
        <v>5</v>
      </c>
      <c r="D53" s="5" t="s">
        <v>4</v>
      </c>
      <c r="E53" s="7">
        <v>33</v>
      </c>
      <c r="F53" s="5" t="s">
        <v>10</v>
      </c>
      <c r="G53" s="5" t="s">
        <v>63</v>
      </c>
      <c r="H53" s="5" t="s">
        <v>62</v>
      </c>
      <c r="I53" s="9" t="s">
        <v>0</v>
      </c>
      <c r="J53" s="1">
        <v>3</v>
      </c>
      <c r="K53" s="1">
        <v>3</v>
      </c>
      <c r="L53" s="1">
        <f>Tableau143[[#This Row],[Fréquence]]*Tableau143[[#This Row],[Gravité]]</f>
        <v>9</v>
      </c>
      <c r="M53" s="5" t="s">
        <v>262</v>
      </c>
      <c r="N53" s="1">
        <v>0.75</v>
      </c>
      <c r="O53" s="2">
        <f>Tableau143[[#This Row],[Priorité initiale]]*Tableau143[[#This Row],[Moyen de Maitrise]]</f>
        <v>6.75</v>
      </c>
      <c r="P53" s="6" t="str">
        <f t="shared" si="0"/>
        <v>P2</v>
      </c>
      <c r="Q53" s="5" t="s">
        <v>160</v>
      </c>
      <c r="S53" s="4"/>
      <c r="T53" s="5"/>
    </row>
    <row r="54" spans="1:20" ht="30" hidden="1" x14ac:dyDescent="0.25">
      <c r="A54" s="8"/>
      <c r="B54" s="5" t="s">
        <v>6</v>
      </c>
      <c r="C54" s="5" t="s">
        <v>5</v>
      </c>
      <c r="D54" s="5" t="s">
        <v>4</v>
      </c>
      <c r="E54" s="7">
        <v>33</v>
      </c>
      <c r="F54" s="5" t="s">
        <v>10</v>
      </c>
      <c r="G54" s="5" t="s">
        <v>9</v>
      </c>
      <c r="H54" s="5" t="s">
        <v>8</v>
      </c>
      <c r="I54" s="9" t="s">
        <v>0</v>
      </c>
      <c r="J54" s="1">
        <v>2</v>
      </c>
      <c r="K54" s="1">
        <v>3</v>
      </c>
      <c r="L54" s="1">
        <f>Tableau143[[#This Row],[Fréquence]]*Tableau143[[#This Row],[Gravité]]</f>
        <v>6</v>
      </c>
      <c r="M54" s="5" t="s">
        <v>7</v>
      </c>
      <c r="N54" s="1">
        <v>0.5</v>
      </c>
      <c r="O54" s="2">
        <f>Tableau143[[#This Row],[Priorité initiale]]*Tableau143[[#This Row],[Moyen de Maitrise]]</f>
        <v>3</v>
      </c>
      <c r="P54" s="6" t="str">
        <f t="shared" si="0"/>
        <v>P3</v>
      </c>
      <c r="Q54" s="5" t="s">
        <v>160</v>
      </c>
      <c r="S54" s="4"/>
    </row>
    <row r="55" spans="1:20" ht="30" hidden="1" x14ac:dyDescent="0.25">
      <c r="A55" s="11"/>
      <c r="B55" s="5" t="s">
        <v>6</v>
      </c>
      <c r="C55" s="5" t="s">
        <v>5</v>
      </c>
      <c r="D55" s="5" t="s">
        <v>4</v>
      </c>
      <c r="E55" s="7">
        <v>33</v>
      </c>
      <c r="F55" s="5" t="s">
        <v>10</v>
      </c>
      <c r="G55" s="12" t="s">
        <v>164</v>
      </c>
      <c r="H55" s="5" t="s">
        <v>8</v>
      </c>
      <c r="I55" s="9" t="s">
        <v>0</v>
      </c>
      <c r="J55" s="1">
        <v>2</v>
      </c>
      <c r="K55" s="1">
        <v>3</v>
      </c>
      <c r="L55" s="13">
        <f>Tableau143[[#This Row],[Fréquence]]*Tableau143[[#This Row],[Gravité]]</f>
        <v>6</v>
      </c>
      <c r="M55" s="9" t="s">
        <v>263</v>
      </c>
      <c r="N55" s="1">
        <v>0.5</v>
      </c>
      <c r="O55" s="2">
        <f>Tableau143[[#This Row],[Moyen de Maitrise]]*Tableau143[[#This Row],[Priorité initiale]]</f>
        <v>3</v>
      </c>
      <c r="P55" s="6" t="str">
        <f t="shared" si="0"/>
        <v>P3</v>
      </c>
      <c r="Q55" s="12"/>
      <c r="S55" s="14"/>
    </row>
    <row r="56" spans="1:20" ht="90.75" hidden="1" customHeight="1" x14ac:dyDescent="0.25">
      <c r="A56" s="8"/>
      <c r="B56" s="5" t="s">
        <v>6</v>
      </c>
      <c r="C56" s="5" t="s">
        <v>5</v>
      </c>
      <c r="D56" s="5" t="s">
        <v>4</v>
      </c>
      <c r="E56" s="7">
        <v>34</v>
      </c>
      <c r="F56" s="5" t="s">
        <v>20</v>
      </c>
      <c r="G56" s="5" t="s">
        <v>61</v>
      </c>
      <c r="H56" s="5" t="s">
        <v>96</v>
      </c>
      <c r="I56" s="9" t="s">
        <v>0</v>
      </c>
      <c r="J56" s="1">
        <v>2</v>
      </c>
      <c r="K56" s="1">
        <v>3</v>
      </c>
      <c r="L56" s="1">
        <f>Tableau143[[#This Row],[Fréquence]]*Tableau143[[#This Row],[Gravité]]</f>
        <v>6</v>
      </c>
      <c r="M56" s="5" t="s">
        <v>264</v>
      </c>
      <c r="N56" s="1">
        <v>0.75</v>
      </c>
      <c r="O56" s="2">
        <f>Tableau143[[#This Row],[Priorité initiale]]*Tableau143[[#This Row],[Moyen de Maitrise]]</f>
        <v>4.5</v>
      </c>
      <c r="P56" s="6" t="str">
        <f t="shared" si="0"/>
        <v>P2</v>
      </c>
      <c r="Q56" s="5" t="s">
        <v>160</v>
      </c>
      <c r="S56" s="4"/>
    </row>
    <row r="57" spans="1:20" ht="126" hidden="1" customHeight="1" x14ac:dyDescent="0.25">
      <c r="A57" s="8"/>
      <c r="B57" s="5" t="s">
        <v>6</v>
      </c>
      <c r="C57" s="5" t="s">
        <v>5</v>
      </c>
      <c r="D57" s="5" t="s">
        <v>4</v>
      </c>
      <c r="E57" s="7">
        <v>34</v>
      </c>
      <c r="F57" s="5" t="s">
        <v>20</v>
      </c>
      <c r="G57" s="5" t="s">
        <v>161</v>
      </c>
      <c r="H57" s="5" t="s">
        <v>162</v>
      </c>
      <c r="I57" s="9" t="s">
        <v>0</v>
      </c>
      <c r="J57" s="1">
        <v>1</v>
      </c>
      <c r="K57" s="1">
        <v>4</v>
      </c>
      <c r="L57" s="1">
        <f>Tableau143[[#This Row],[Fréquence]]*Tableau143[[#This Row],[Gravité]]</f>
        <v>4</v>
      </c>
      <c r="M57" s="5" t="s">
        <v>265</v>
      </c>
      <c r="N57" s="1">
        <v>0.5</v>
      </c>
      <c r="O57" s="2">
        <f>Tableau143[[#This Row],[Priorité initiale]]*Tableau143[[#This Row],[Moyen de Maitrise]]</f>
        <v>2</v>
      </c>
      <c r="P57" s="6" t="str">
        <f t="shared" si="0"/>
        <v>P3</v>
      </c>
      <c r="Q57" s="5"/>
      <c r="S57" s="4"/>
    </row>
    <row r="58" spans="1:20" ht="90" hidden="1" x14ac:dyDescent="0.25">
      <c r="A58" s="8"/>
      <c r="B58" s="5" t="s">
        <v>6</v>
      </c>
      <c r="C58" s="5" t="s">
        <v>5</v>
      </c>
      <c r="D58" s="5" t="s">
        <v>4</v>
      </c>
      <c r="E58" s="7">
        <v>35</v>
      </c>
      <c r="F58" s="5" t="s">
        <v>60</v>
      </c>
      <c r="G58" s="5" t="s">
        <v>59</v>
      </c>
      <c r="H58" s="5" t="s">
        <v>58</v>
      </c>
      <c r="I58" s="9" t="s">
        <v>0</v>
      </c>
      <c r="J58" s="1">
        <v>1</v>
      </c>
      <c r="K58" s="1">
        <v>3</v>
      </c>
      <c r="L58" s="1">
        <f>Tableau143[[#This Row],[Fréquence]]*Tableau143[[#This Row],[Gravité]]</f>
        <v>3</v>
      </c>
      <c r="M58" s="5" t="s">
        <v>266</v>
      </c>
      <c r="N58" s="1">
        <v>0.75</v>
      </c>
      <c r="O58" s="2">
        <f>Tableau143[[#This Row],[Priorité initiale]]*Tableau143[[#This Row],[Moyen de Maitrise]]</f>
        <v>2.25</v>
      </c>
      <c r="P58" s="6" t="str">
        <f t="shared" si="0"/>
        <v>P3</v>
      </c>
      <c r="Q58" s="5"/>
    </row>
    <row r="59" spans="1:20" ht="105" hidden="1" x14ac:dyDescent="0.25">
      <c r="A59" s="11"/>
      <c r="B59" s="5" t="s">
        <v>6</v>
      </c>
      <c r="C59" s="5" t="s">
        <v>5</v>
      </c>
      <c r="D59" s="5" t="s">
        <v>4</v>
      </c>
      <c r="E59" s="7">
        <v>36</v>
      </c>
      <c r="F59" s="5" t="s">
        <v>210</v>
      </c>
      <c r="G59" s="5" t="s">
        <v>211</v>
      </c>
      <c r="H59" s="5" t="s">
        <v>212</v>
      </c>
      <c r="I59" s="9" t="s">
        <v>0</v>
      </c>
      <c r="J59" s="1">
        <v>2</v>
      </c>
      <c r="K59" s="1">
        <v>3</v>
      </c>
      <c r="L59" s="13">
        <f>Tableau143[[#This Row],[Fréquence]]*Tableau143[[#This Row],[Gravité]]</f>
        <v>6</v>
      </c>
      <c r="M59" s="5" t="s">
        <v>222</v>
      </c>
      <c r="N59" s="1">
        <v>0.75</v>
      </c>
      <c r="O59" s="2">
        <f>Tableau143[[#This Row],[Moyen de Maitrise]]*Tableau143[[#This Row],[Priorité initiale]]</f>
        <v>4.5</v>
      </c>
      <c r="P59" s="6" t="str">
        <f t="shared" si="0"/>
        <v>P2</v>
      </c>
      <c r="Q59" s="5" t="s">
        <v>290</v>
      </c>
    </row>
    <row r="60" spans="1:20" ht="30" hidden="1" x14ac:dyDescent="0.25">
      <c r="A60" s="11"/>
      <c r="B60" s="5" t="s">
        <v>6</v>
      </c>
      <c r="C60" s="5" t="s">
        <v>5</v>
      </c>
      <c r="D60" s="5" t="s">
        <v>4</v>
      </c>
      <c r="E60" s="7">
        <v>37</v>
      </c>
      <c r="F60" s="5" t="s">
        <v>213</v>
      </c>
      <c r="G60" s="5" t="s">
        <v>214</v>
      </c>
      <c r="H60" s="5" t="s">
        <v>215</v>
      </c>
      <c r="I60" s="9" t="s">
        <v>0</v>
      </c>
      <c r="J60" s="1">
        <v>2</v>
      </c>
      <c r="K60" s="1">
        <v>3</v>
      </c>
      <c r="L60" s="13">
        <f>Tableau143[[#This Row],[Fréquence]]*Tableau143[[#This Row],[Gravité]]</f>
        <v>6</v>
      </c>
      <c r="M60" s="5" t="s">
        <v>223</v>
      </c>
      <c r="N60" s="1">
        <v>0.5</v>
      </c>
      <c r="O60" s="2">
        <f>Tableau143[[#This Row],[Moyen de Maitrise]]*Tableau143[[#This Row],[Priorité initiale]]</f>
        <v>3</v>
      </c>
      <c r="P60" s="6" t="str">
        <f t="shared" si="0"/>
        <v>P3</v>
      </c>
      <c r="Q60" s="5"/>
    </row>
    <row r="61" spans="1:20" ht="30" hidden="1" x14ac:dyDescent="0.25">
      <c r="A61" s="11"/>
      <c r="B61" s="5" t="s">
        <v>6</v>
      </c>
      <c r="C61" s="5" t="s">
        <v>5</v>
      </c>
      <c r="D61" s="5" t="s">
        <v>4</v>
      </c>
      <c r="E61" s="7">
        <v>37</v>
      </c>
      <c r="F61" s="5" t="s">
        <v>213</v>
      </c>
      <c r="G61" s="5" t="s">
        <v>216</v>
      </c>
      <c r="H61" s="5" t="s">
        <v>217</v>
      </c>
      <c r="I61" s="9" t="s">
        <v>0</v>
      </c>
      <c r="J61" s="1">
        <v>2</v>
      </c>
      <c r="K61" s="1">
        <v>3</v>
      </c>
      <c r="L61" s="13">
        <f>Tableau143[[#This Row],[Fréquence]]*Tableau143[[#This Row],[Gravité]]</f>
        <v>6</v>
      </c>
      <c r="M61" s="5" t="s">
        <v>258</v>
      </c>
      <c r="N61" s="1">
        <v>0.5</v>
      </c>
      <c r="O61" s="2">
        <f>Tableau143[[#This Row],[Moyen de Maitrise]]*Tableau143[[#This Row],[Priorité initiale]]</f>
        <v>3</v>
      </c>
      <c r="P61" s="6" t="str">
        <f t="shared" si="0"/>
        <v>P3</v>
      </c>
      <c r="Q61" s="5"/>
    </row>
    <row r="62" spans="1:20" ht="219" hidden="1" customHeight="1" x14ac:dyDescent="0.25">
      <c r="A62" s="11"/>
      <c r="B62" s="5" t="s">
        <v>6</v>
      </c>
      <c r="C62" s="5" t="s">
        <v>5</v>
      </c>
      <c r="D62" s="5" t="s">
        <v>4</v>
      </c>
      <c r="E62" s="7">
        <v>38</v>
      </c>
      <c r="F62" s="5" t="s">
        <v>218</v>
      </c>
      <c r="G62" s="5" t="s">
        <v>219</v>
      </c>
      <c r="H62" s="5" t="s">
        <v>220</v>
      </c>
      <c r="I62" s="9" t="s">
        <v>0</v>
      </c>
      <c r="J62" s="1">
        <v>2</v>
      </c>
      <c r="K62" s="1">
        <v>4</v>
      </c>
      <c r="L62" s="13">
        <f>Tableau143[[#This Row],[Fréquence]]*Tableau143[[#This Row],[Gravité]]</f>
        <v>8</v>
      </c>
      <c r="M62" s="5" t="s">
        <v>267</v>
      </c>
      <c r="N62" s="1">
        <v>0.75</v>
      </c>
      <c r="O62" s="2">
        <f>Tableau143[[#This Row],[Moyen de Maitrise]]*Tableau143[[#This Row],[Priorité initiale]]</f>
        <v>6</v>
      </c>
      <c r="P62" s="6" t="str">
        <f t="shared" si="0"/>
        <v>P2</v>
      </c>
      <c r="Q62" s="5" t="s">
        <v>225</v>
      </c>
    </row>
    <row r="63" spans="1:20" ht="45" hidden="1" x14ac:dyDescent="0.25">
      <c r="A63" s="11"/>
      <c r="B63" s="5" t="s">
        <v>6</v>
      </c>
      <c r="C63" s="5" t="s">
        <v>5</v>
      </c>
      <c r="D63" s="5" t="s">
        <v>4</v>
      </c>
      <c r="E63" s="7">
        <v>38</v>
      </c>
      <c r="F63" s="5" t="s">
        <v>218</v>
      </c>
      <c r="G63" s="5" t="s">
        <v>221</v>
      </c>
      <c r="H63" s="5" t="s">
        <v>220</v>
      </c>
      <c r="I63" s="9" t="s">
        <v>0</v>
      </c>
      <c r="J63" s="1">
        <v>2</v>
      </c>
      <c r="K63" s="1">
        <v>4</v>
      </c>
      <c r="L63" s="13">
        <f>Tableau143[[#This Row],[Fréquence]]*Tableau143[[#This Row],[Gravité]]</f>
        <v>8</v>
      </c>
      <c r="M63" s="5" t="s">
        <v>224</v>
      </c>
      <c r="N63" s="1">
        <v>0.75</v>
      </c>
      <c r="O63" s="2">
        <f>Tableau143[[#This Row],[Moyen de Maitrise]]*Tableau143[[#This Row],[Priorité initiale]]</f>
        <v>6</v>
      </c>
      <c r="P63" s="6" t="str">
        <f t="shared" si="0"/>
        <v>P2</v>
      </c>
      <c r="Q63" s="5" t="s">
        <v>225</v>
      </c>
    </row>
    <row r="64" spans="1:20" ht="75" hidden="1" x14ac:dyDescent="0.25">
      <c r="A64" s="8"/>
      <c r="B64" s="5" t="s">
        <v>6</v>
      </c>
      <c r="C64" s="5" t="s">
        <v>5</v>
      </c>
      <c r="D64" s="5" t="s">
        <v>4</v>
      </c>
      <c r="E64" s="7">
        <v>39</v>
      </c>
      <c r="F64" s="5" t="s">
        <v>19</v>
      </c>
      <c r="G64" s="5" t="s">
        <v>103</v>
      </c>
      <c r="H64" s="5" t="s">
        <v>102</v>
      </c>
      <c r="I64" s="9" t="s">
        <v>0</v>
      </c>
      <c r="J64" s="1">
        <v>3</v>
      </c>
      <c r="K64" s="1">
        <v>4</v>
      </c>
      <c r="L64" s="1">
        <f>Tableau143[[#This Row],[Fréquence]]*Tableau143[[#This Row],[Gravité]]</f>
        <v>12</v>
      </c>
      <c r="M64" s="5" t="s">
        <v>268</v>
      </c>
      <c r="N64" s="1">
        <v>0.5</v>
      </c>
      <c r="O64" s="2">
        <f>Tableau143[[#This Row],[Priorité initiale]]*Tableau143[[#This Row],[Moyen de Maitrise]]</f>
        <v>6</v>
      </c>
      <c r="P64" s="6" t="str">
        <f t="shared" si="0"/>
        <v>P2</v>
      </c>
      <c r="Q64" s="5"/>
      <c r="S64" s="4"/>
    </row>
    <row r="65" spans="1:19" ht="186" hidden="1" customHeight="1" x14ac:dyDescent="0.25">
      <c r="A65" s="8"/>
      <c r="B65" s="5" t="s">
        <v>6</v>
      </c>
      <c r="C65" s="5" t="s">
        <v>5</v>
      </c>
      <c r="D65" s="5" t="s">
        <v>4</v>
      </c>
      <c r="E65" s="7">
        <v>39</v>
      </c>
      <c r="F65" s="5" t="s">
        <v>19</v>
      </c>
      <c r="G65" s="5" t="s">
        <v>157</v>
      </c>
      <c r="H65" s="5" t="s">
        <v>95</v>
      </c>
      <c r="I65" s="9" t="s">
        <v>0</v>
      </c>
      <c r="J65" s="1">
        <v>2</v>
      </c>
      <c r="K65" s="1">
        <v>3</v>
      </c>
      <c r="L65" s="1">
        <f>Tableau143[[#This Row],[Fréquence]]*Tableau143[[#This Row],[Gravité]]</f>
        <v>6</v>
      </c>
      <c r="M65" s="12" t="s">
        <v>269</v>
      </c>
      <c r="N65" s="1">
        <v>0.75</v>
      </c>
      <c r="O65" s="2">
        <f>Tableau143[[#This Row],[Priorité initiale]]*Tableau143[[#This Row],[Moyen de Maitrise]]</f>
        <v>4.5</v>
      </c>
      <c r="P65" s="6" t="str">
        <f t="shared" si="0"/>
        <v>P2</v>
      </c>
      <c r="Q65" s="5"/>
      <c r="S65" s="4"/>
    </row>
    <row r="66" spans="1:19" ht="92.25" hidden="1" customHeight="1" x14ac:dyDescent="0.25">
      <c r="A66" s="8"/>
      <c r="B66" s="5" t="s">
        <v>6</v>
      </c>
      <c r="C66" s="5" t="s">
        <v>5</v>
      </c>
      <c r="D66" s="5" t="s">
        <v>4</v>
      </c>
      <c r="E66" s="7">
        <v>39</v>
      </c>
      <c r="F66" s="5" t="s">
        <v>19</v>
      </c>
      <c r="G66" s="5" t="s">
        <v>66</v>
      </c>
      <c r="H66" s="5" t="s">
        <v>65</v>
      </c>
      <c r="I66" s="9" t="s">
        <v>0</v>
      </c>
      <c r="J66" s="1">
        <v>2</v>
      </c>
      <c r="K66" s="1">
        <v>4</v>
      </c>
      <c r="L66" s="1">
        <f>Tableau143[[#This Row],[Fréquence]]*Tableau143[[#This Row],[Gravité]]</f>
        <v>8</v>
      </c>
      <c r="M66" s="5" t="s">
        <v>270</v>
      </c>
      <c r="N66" s="1">
        <v>0.5</v>
      </c>
      <c r="O66" s="2">
        <f>Tableau143[[#This Row],[Priorité initiale]]*Tableau143[[#This Row],[Moyen de Maitrise]]</f>
        <v>4</v>
      </c>
      <c r="P66" s="6" t="str">
        <f t="shared" si="0"/>
        <v>P2</v>
      </c>
      <c r="Q66" s="5"/>
      <c r="S66" s="4"/>
    </row>
    <row r="67" spans="1:19" ht="45" hidden="1" x14ac:dyDescent="0.25">
      <c r="A67" s="8"/>
      <c r="B67" s="5" t="s">
        <v>6</v>
      </c>
      <c r="C67" s="5" t="s">
        <v>5</v>
      </c>
      <c r="D67" s="5" t="s">
        <v>4</v>
      </c>
      <c r="E67" s="7">
        <v>39</v>
      </c>
      <c r="F67" s="5" t="s">
        <v>19</v>
      </c>
      <c r="G67" s="5" t="s">
        <v>92</v>
      </c>
      <c r="H67" s="5" t="s">
        <v>91</v>
      </c>
      <c r="I67" s="9" t="s">
        <v>0</v>
      </c>
      <c r="J67" s="1">
        <v>2</v>
      </c>
      <c r="K67" s="1">
        <v>4</v>
      </c>
      <c r="L67" s="1">
        <f>Tableau143[[#This Row],[Fréquence]]*Tableau143[[#This Row],[Gravité]]</f>
        <v>8</v>
      </c>
      <c r="M67" s="5" t="s">
        <v>271</v>
      </c>
      <c r="N67" s="1">
        <v>0.5</v>
      </c>
      <c r="O67" s="2">
        <f>Tableau143[[#This Row],[Priorité initiale]]*Tableau143[[#This Row],[Moyen de Maitrise]]</f>
        <v>4</v>
      </c>
      <c r="P67" s="6" t="str">
        <f t="shared" si="0"/>
        <v>P2</v>
      </c>
      <c r="Q67" s="5"/>
    </row>
    <row r="68" spans="1:19" ht="121.5" hidden="1" customHeight="1" x14ac:dyDescent="0.25">
      <c r="A68" s="8"/>
      <c r="B68" s="5" t="s">
        <v>6</v>
      </c>
      <c r="C68" s="5" t="s">
        <v>5</v>
      </c>
      <c r="D68" s="5" t="s">
        <v>4</v>
      </c>
      <c r="E68" s="7">
        <v>39</v>
      </c>
      <c r="F68" s="5" t="s">
        <v>19</v>
      </c>
      <c r="G68" s="5" t="s">
        <v>18</v>
      </c>
      <c r="H68" s="5" t="s">
        <v>64</v>
      </c>
      <c r="I68" s="9" t="s">
        <v>0</v>
      </c>
      <c r="J68" s="1">
        <v>3</v>
      </c>
      <c r="K68" s="1">
        <v>2</v>
      </c>
      <c r="L68" s="1">
        <f>Tableau143[[#This Row],[Fréquence]]*Tableau143[[#This Row],[Gravité]]</f>
        <v>6</v>
      </c>
      <c r="M68" s="5" t="s">
        <v>272</v>
      </c>
      <c r="N68" s="1">
        <v>0.5</v>
      </c>
      <c r="O68" s="2">
        <f>Tableau143[[#This Row],[Priorité initiale]]*Tableau143[[#This Row],[Moyen de Maitrise]]</f>
        <v>3</v>
      </c>
      <c r="P68" s="6" t="str">
        <f t="shared" ref="P68:P77" si="1">IF(AND(O68&gt;=0,O68&lt;4),"P3",IF(AND(O68&gt;=4,O68&lt;=8),"P2",IF(O68&gt;8,"P1","")))</f>
        <v>P3</v>
      </c>
      <c r="Q68" s="5"/>
    </row>
    <row r="69" spans="1:19" ht="45" hidden="1" x14ac:dyDescent="0.25">
      <c r="A69" s="8"/>
      <c r="B69" s="5" t="s">
        <v>6</v>
      </c>
      <c r="C69" s="5" t="s">
        <v>5</v>
      </c>
      <c r="D69" s="5" t="s">
        <v>4</v>
      </c>
      <c r="E69" s="7">
        <v>39</v>
      </c>
      <c r="F69" s="5" t="s">
        <v>19</v>
      </c>
      <c r="G69" s="5" t="s">
        <v>41</v>
      </c>
      <c r="H69" s="5" t="s">
        <v>40</v>
      </c>
      <c r="I69" s="9" t="s">
        <v>0</v>
      </c>
      <c r="J69" s="1">
        <v>2</v>
      </c>
      <c r="K69" s="1">
        <v>2</v>
      </c>
      <c r="L69" s="1">
        <f>Tableau143[[#This Row],[Fréquence]]*Tableau143[[#This Row],[Gravité]]</f>
        <v>4</v>
      </c>
      <c r="M69" s="5" t="s">
        <v>273</v>
      </c>
      <c r="N69" s="1">
        <v>0.5</v>
      </c>
      <c r="O69" s="2">
        <f>Tableau143[[#This Row],[Priorité initiale]]*Tableau143[[#This Row],[Moyen de Maitrise]]</f>
        <v>2</v>
      </c>
      <c r="P69" s="6" t="str">
        <f t="shared" si="1"/>
        <v>P3</v>
      </c>
      <c r="Q69" s="5"/>
      <c r="S69" s="4"/>
    </row>
    <row r="70" spans="1:19" ht="127.5" hidden="1" customHeight="1" x14ac:dyDescent="0.25">
      <c r="A70" s="11"/>
      <c r="B70" s="5" t="s">
        <v>6</v>
      </c>
      <c r="C70" s="5" t="s">
        <v>5</v>
      </c>
      <c r="D70" s="5" t="s">
        <v>4</v>
      </c>
      <c r="E70" s="7">
        <v>40</v>
      </c>
      <c r="F70" s="5" t="s">
        <v>226</v>
      </c>
      <c r="G70" s="5" t="s">
        <v>227</v>
      </c>
      <c r="H70" s="5" t="s">
        <v>212</v>
      </c>
      <c r="I70" s="9" t="s">
        <v>0</v>
      </c>
      <c r="J70" s="1">
        <v>1</v>
      </c>
      <c r="K70" s="1">
        <v>4</v>
      </c>
      <c r="L70" s="13">
        <f>Tableau143[[#This Row],[Fréquence]]*Tableau143[[#This Row],[Gravité]]</f>
        <v>4</v>
      </c>
      <c r="M70" s="5" t="s">
        <v>274</v>
      </c>
      <c r="N70" s="1">
        <v>1</v>
      </c>
      <c r="O70" s="2">
        <f>Tableau143[[#This Row],[Moyen de Maitrise]]*Tableau143[[#This Row],[Priorité initiale]]</f>
        <v>4</v>
      </c>
      <c r="P70" s="6" t="str">
        <f t="shared" si="1"/>
        <v>P2</v>
      </c>
      <c r="Q70" s="5" t="s">
        <v>291</v>
      </c>
      <c r="S70" s="14"/>
    </row>
    <row r="71" spans="1:19" ht="108" hidden="1" customHeight="1" x14ac:dyDescent="0.25">
      <c r="A71" s="8"/>
      <c r="B71" s="5" t="s">
        <v>6</v>
      </c>
      <c r="C71" s="5" t="s">
        <v>5</v>
      </c>
      <c r="D71" s="5" t="s">
        <v>4</v>
      </c>
      <c r="E71" s="7">
        <v>22</v>
      </c>
      <c r="F71" s="5" t="s">
        <v>134</v>
      </c>
      <c r="G71" s="5" t="s">
        <v>133</v>
      </c>
      <c r="H71" s="5" t="s">
        <v>130</v>
      </c>
      <c r="I71" s="5" t="s">
        <v>0</v>
      </c>
      <c r="J71" s="1">
        <v>3</v>
      </c>
      <c r="K71" s="1">
        <v>3</v>
      </c>
      <c r="L71" s="1">
        <f>Tableau143[[#This Row],[Fréquence]]*Tableau143[[#This Row],[Gravité]]</f>
        <v>9</v>
      </c>
      <c r="M71" s="5" t="s">
        <v>275</v>
      </c>
      <c r="N71" s="1">
        <v>0.75</v>
      </c>
      <c r="O71" s="2">
        <f>Tableau143[[#This Row],[Priorité initiale]]*Tableau143[[#This Row],[Moyen de Maitrise]]</f>
        <v>6.75</v>
      </c>
      <c r="P71" s="6" t="str">
        <f t="shared" si="1"/>
        <v>P2</v>
      </c>
      <c r="Q71" s="5" t="s">
        <v>131</v>
      </c>
      <c r="R71" s="10"/>
      <c r="S71" s="4"/>
    </row>
    <row r="72" spans="1:19" ht="90" hidden="1" x14ac:dyDescent="0.25">
      <c r="A72" s="8"/>
      <c r="B72" s="5" t="s">
        <v>6</v>
      </c>
      <c r="C72" s="5" t="s">
        <v>5</v>
      </c>
      <c r="D72" s="5" t="s">
        <v>4</v>
      </c>
      <c r="E72" s="7">
        <v>22</v>
      </c>
      <c r="F72" s="5" t="s">
        <v>134</v>
      </c>
      <c r="G72" s="5" t="s">
        <v>132</v>
      </c>
      <c r="H72" s="5" t="s">
        <v>130</v>
      </c>
      <c r="I72" s="5" t="s">
        <v>0</v>
      </c>
      <c r="J72" s="1">
        <v>3</v>
      </c>
      <c r="K72" s="1">
        <v>3</v>
      </c>
      <c r="L72" s="1">
        <f>Tableau143[[#This Row],[Fréquence]]*Tableau143[[#This Row],[Gravité]]</f>
        <v>9</v>
      </c>
      <c r="M72" s="5" t="s">
        <v>276</v>
      </c>
      <c r="N72" s="1">
        <v>0.75</v>
      </c>
      <c r="O72" s="2">
        <f>Tableau143[[#This Row],[Priorité initiale]]*Tableau143[[#This Row],[Moyen de Maitrise]]</f>
        <v>6.75</v>
      </c>
      <c r="P72" s="6" t="str">
        <f t="shared" si="1"/>
        <v>P2</v>
      </c>
      <c r="Q72" s="5"/>
      <c r="R72" s="10"/>
    </row>
    <row r="73" spans="1:19" ht="60" hidden="1" x14ac:dyDescent="0.25">
      <c r="A73" s="8"/>
      <c r="B73" s="5" t="s">
        <v>6</v>
      </c>
      <c r="C73" s="5" t="s">
        <v>5</v>
      </c>
      <c r="D73" s="5" t="s">
        <v>4</v>
      </c>
      <c r="E73" s="7">
        <v>23</v>
      </c>
      <c r="F73" s="5" t="s">
        <v>135</v>
      </c>
      <c r="G73" s="5" t="s">
        <v>136</v>
      </c>
      <c r="H73" s="5" t="s">
        <v>130</v>
      </c>
      <c r="I73" s="5" t="s">
        <v>0</v>
      </c>
      <c r="J73" s="1">
        <v>3</v>
      </c>
      <c r="K73" s="1">
        <v>3</v>
      </c>
      <c r="L73" s="1">
        <f>Tableau143[[#This Row],[Fréquence]]*Tableau143[[#This Row],[Gravité]]</f>
        <v>9</v>
      </c>
      <c r="M73" s="5" t="s">
        <v>277</v>
      </c>
      <c r="N73" s="1">
        <v>0.75</v>
      </c>
      <c r="O73" s="2">
        <f>Tableau143[[#This Row],[Priorité initiale]]*Tableau143[[#This Row],[Moyen de Maitrise]]</f>
        <v>6.75</v>
      </c>
      <c r="P73" s="6" t="str">
        <f t="shared" si="1"/>
        <v>P2</v>
      </c>
      <c r="Q73" s="5"/>
      <c r="R73" s="10"/>
    </row>
    <row r="74" spans="1:19" ht="90" hidden="1" x14ac:dyDescent="0.25">
      <c r="A74" s="8"/>
      <c r="B74" s="5" t="s">
        <v>6</v>
      </c>
      <c r="C74" s="5" t="s">
        <v>5</v>
      </c>
      <c r="D74" s="5" t="s">
        <v>4</v>
      </c>
      <c r="E74" s="7">
        <v>43</v>
      </c>
      <c r="F74" s="5" t="s">
        <v>145</v>
      </c>
      <c r="G74" s="5" t="s">
        <v>146</v>
      </c>
      <c r="H74" s="5" t="s">
        <v>147</v>
      </c>
      <c r="I74" s="5" t="s">
        <v>0</v>
      </c>
      <c r="L74" s="1">
        <f>Tableau143[[#This Row],[Fréquence]]*Tableau143[[#This Row],[Gravité]]</f>
        <v>0</v>
      </c>
      <c r="M74" s="5" t="s">
        <v>129</v>
      </c>
      <c r="O74" s="2">
        <f>Tableau143[[#This Row],[Priorité initiale]]*Tableau143[[#This Row],[Moyen de Maitrise]]</f>
        <v>0</v>
      </c>
      <c r="P74" s="6" t="str">
        <f t="shared" si="1"/>
        <v>P3</v>
      </c>
      <c r="Q74" s="5"/>
      <c r="R74" s="10"/>
    </row>
    <row r="75" spans="1:19" ht="30" hidden="1" x14ac:dyDescent="0.25">
      <c r="A75" s="8"/>
      <c r="B75" s="5" t="s">
        <v>6</v>
      </c>
      <c r="C75" s="5" t="s">
        <v>5</v>
      </c>
      <c r="D75" s="5" t="s">
        <v>4</v>
      </c>
      <c r="E75" s="7">
        <v>43</v>
      </c>
      <c r="F75" s="5" t="s">
        <v>145</v>
      </c>
      <c r="G75" s="5" t="s">
        <v>166</v>
      </c>
      <c r="H75" s="5" t="s">
        <v>167</v>
      </c>
      <c r="I75" s="5" t="s">
        <v>0</v>
      </c>
      <c r="J75" s="1">
        <v>1</v>
      </c>
      <c r="K75" s="1">
        <v>4</v>
      </c>
      <c r="L75" s="13">
        <f>Tableau143[[#This Row],[Fréquence]]*Tableau143[[#This Row],[Gravité]]</f>
        <v>4</v>
      </c>
      <c r="M75" s="9" t="s">
        <v>278</v>
      </c>
      <c r="N75" s="1">
        <v>0.5</v>
      </c>
      <c r="O75" s="2">
        <f>Tableau143[[#This Row],[Moyen de Maitrise]]*Tableau143[[#This Row],[Priorité initiale]]</f>
        <v>2</v>
      </c>
      <c r="P75" s="6" t="str">
        <f t="shared" si="1"/>
        <v>P3</v>
      </c>
      <c r="Q75" s="12"/>
      <c r="R75" s="10"/>
    </row>
    <row r="76" spans="1:19" ht="45" hidden="1" x14ac:dyDescent="0.25">
      <c r="A76" s="8"/>
      <c r="B76" s="5" t="s">
        <v>6</v>
      </c>
      <c r="C76" s="5" t="s">
        <v>5</v>
      </c>
      <c r="D76" s="5" t="s">
        <v>4</v>
      </c>
      <c r="E76" s="7">
        <v>44</v>
      </c>
      <c r="F76" s="5" t="s">
        <v>163</v>
      </c>
      <c r="G76" s="5" t="s">
        <v>128</v>
      </c>
      <c r="H76" s="5" t="s">
        <v>96</v>
      </c>
      <c r="I76" s="9" t="s">
        <v>0</v>
      </c>
      <c r="J76" s="1">
        <v>2</v>
      </c>
      <c r="K76" s="1">
        <v>4</v>
      </c>
      <c r="L76" s="1">
        <f>Tableau143[[#This Row],[Fréquence]]*Tableau143[[#This Row],[Gravité]]</f>
        <v>8</v>
      </c>
      <c r="M76" s="9" t="s">
        <v>279</v>
      </c>
      <c r="N76" s="1">
        <v>0.75</v>
      </c>
      <c r="O76" s="2">
        <f>Tableau143[[#This Row],[Priorité initiale]]*Tableau143[[#This Row],[Moyen de Maitrise]]</f>
        <v>6</v>
      </c>
      <c r="P76" s="6" t="str">
        <f t="shared" si="1"/>
        <v>P2</v>
      </c>
      <c r="Q76" s="5"/>
      <c r="R76" s="8"/>
      <c r="S76" s="5"/>
    </row>
    <row r="77" spans="1:19" ht="45" hidden="1" x14ac:dyDescent="0.25">
      <c r="A77" s="8"/>
      <c r="B77" s="5" t="s">
        <v>6</v>
      </c>
      <c r="C77" s="5" t="s">
        <v>5</v>
      </c>
      <c r="D77" s="5" t="s">
        <v>4</v>
      </c>
      <c r="E77" s="7">
        <v>45</v>
      </c>
      <c r="F77" s="5" t="s">
        <v>168</v>
      </c>
      <c r="G77" s="5" t="s">
        <v>169</v>
      </c>
      <c r="H77" s="5" t="s">
        <v>170</v>
      </c>
      <c r="I77" s="9" t="s">
        <v>0</v>
      </c>
      <c r="J77" s="1">
        <v>1</v>
      </c>
      <c r="K77" s="1">
        <v>4</v>
      </c>
      <c r="L77" s="1">
        <f>Tableau143[[#This Row],[Fréquence]]*Tableau143[[#This Row],[Gravité]]</f>
        <v>4</v>
      </c>
      <c r="M77" s="5" t="s">
        <v>171</v>
      </c>
      <c r="N77" s="1">
        <v>1</v>
      </c>
      <c r="O77" s="2">
        <f>Tableau143[[#This Row],[Priorité initiale]]*Tableau143[[#This Row],[Moyen de Maitrise]]</f>
        <v>4</v>
      </c>
      <c r="P77" s="6" t="str">
        <f t="shared" si="1"/>
        <v>P2</v>
      </c>
      <c r="Q77" s="5"/>
      <c r="S77" s="4"/>
    </row>
  </sheetData>
  <conditionalFormatting sqref="P1:Q2 P78:Q1048576 P3:P77">
    <cfRule type="containsText" dxfId="12" priority="22" operator="containsText" text="P1">
      <formula>NOT(ISERROR(SEARCH("P1",P1)))</formula>
    </cfRule>
    <cfRule type="containsText" dxfId="11" priority="23" operator="containsText" text="P2">
      <formula>NOT(ISERROR(SEARCH("P2",P1)))</formula>
    </cfRule>
    <cfRule type="containsText" dxfId="10" priority="24" operator="containsText" text="P3">
      <formula>NOT(ISERROR(SEARCH("P3",P1)))</formula>
    </cfRule>
  </conditionalFormatting>
  <conditionalFormatting sqref="P3:P77">
    <cfRule type="containsText" dxfId="9" priority="17" operator="containsText" text="P3">
      <formula>NOT(ISERROR(SEARCH("P3",P3)))</formula>
    </cfRule>
    <cfRule type="containsText" dxfId="8" priority="18" operator="containsText" text="P1">
      <formula>NOT(ISERROR(SEARCH("P1",P3)))</formula>
    </cfRule>
    <cfRule type="containsText" dxfId="7" priority="19" operator="containsText" text="P3">
      <formula>NOT(ISERROR(SEARCH("P3",P3)))</formula>
    </cfRule>
    <cfRule type="containsText" dxfId="6" priority="20" operator="containsText" text="P2">
      <formula>NOT(ISERROR(SEARCH("P2",P3)))</formula>
    </cfRule>
    <cfRule type="containsText" dxfId="5" priority="21" operator="containsText" text="P1">
      <formula>NOT(ISERROR(SEARCH("P1",P3)))</formula>
    </cfRule>
  </conditionalFormatting>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Feuil4</vt:lpstr>
      <vt:lpstr>Circulaire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AMABILE Tim</dc:creator>
  <cp:lastModifiedBy>AMABILE Tim</cp:lastModifiedBy>
  <dcterms:created xsi:type="dcterms:W3CDTF">2026-04-16T09:40:50Z</dcterms:created>
  <dcterms:modified xsi:type="dcterms:W3CDTF">2026-06-08T13:54:18Z</dcterms:modified>
</cp:coreProperties>
</file>