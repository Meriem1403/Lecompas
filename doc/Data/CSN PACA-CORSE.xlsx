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T:\Conseiller_Prevention\Dossiers CP - Tim AMABILE\Gestion des risques\DUERP\MAJ DUERP\CSN\"/>
    </mc:Choice>
  </mc:AlternateContent>
  <xr:revisionPtr revIDLastSave="0" documentId="13_ncr:1_{181A8BA0-3C70-40AE-AC57-CAB681E1ADDE}" xr6:coauthVersionLast="47" xr6:coauthVersionMax="47" xr10:uidLastSave="{00000000-0000-0000-0000-000000000000}"/>
  <bookViews>
    <workbookView xWindow="25080" yWindow="-690" windowWidth="29040" windowHeight="15720" activeTab="1" xr2:uid="{B51BFECF-33C5-4CCB-A46C-482A1BC5ECF4}"/>
  </bookViews>
  <sheets>
    <sheet name="Feuil1" sheetId="1" r:id="rId1"/>
    <sheet name="Agrégat (2)" sheetId="2"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6" i="2" l="1"/>
  <c r="O6" i="2" s="1"/>
  <c r="L63" i="2"/>
  <c r="L18" i="2"/>
  <c r="O18" i="2" s="1"/>
  <c r="L4" i="2"/>
  <c r="O4" i="2" s="1"/>
  <c r="L9" i="2"/>
  <c r="O9" i="2" s="1"/>
  <c r="L3" i="2"/>
  <c r="O3" i="2" s="1"/>
  <c r="L23" i="2"/>
  <c r="O23" i="2" s="1"/>
  <c r="L24" i="2"/>
  <c r="O24" i="2" s="1"/>
  <c r="L37" i="2"/>
  <c r="O37" i="2" s="1"/>
  <c r="L25" i="2"/>
  <c r="O25" i="2" s="1"/>
  <c r="L26" i="2"/>
  <c r="O26" i="2" s="1"/>
  <c r="L27" i="2"/>
  <c r="O27" i="2" s="1"/>
  <c r="L28" i="2"/>
  <c r="O28" i="2" s="1"/>
  <c r="L29" i="2"/>
  <c r="O29" i="2"/>
  <c r="L30" i="2"/>
  <c r="O30" i="2" s="1"/>
  <c r="L31" i="2"/>
  <c r="O31" i="2" s="1"/>
  <c r="L32" i="2"/>
  <c r="O32" i="2" s="1"/>
  <c r="L20" i="2"/>
  <c r="O20" i="2" s="1"/>
  <c r="L10" i="2"/>
  <c r="O10" i="2" s="1"/>
  <c r="L12" i="2"/>
  <c r="O12" i="2" s="1"/>
  <c r="L7" i="2"/>
  <c r="O7" i="2" s="1"/>
  <c r="L21" i="2"/>
  <c r="O21" i="2" s="1"/>
  <c r="L22" i="2"/>
  <c r="O22" i="2" s="1"/>
  <c r="L5" i="2"/>
  <c r="O5" i="2" s="1"/>
  <c r="L13" i="2"/>
  <c r="O13" i="2" s="1"/>
  <c r="L11" i="2"/>
  <c r="O11" i="2" s="1"/>
  <c r="L33" i="2"/>
  <c r="O33" i="2" s="1"/>
  <c r="L45" i="2"/>
  <c r="O45" i="2" s="1"/>
  <c r="L34" i="2"/>
  <c r="O34" i="2" s="1"/>
  <c r="L8" i="2"/>
  <c r="O8" i="2" s="1"/>
  <c r="L19" i="2"/>
  <c r="O19" i="2" s="1"/>
  <c r="L14" i="2"/>
  <c r="O14" i="2" s="1"/>
  <c r="L15" i="2"/>
  <c r="O15" i="2" s="1"/>
  <c r="L35" i="2"/>
  <c r="O35" i="2" s="1"/>
  <c r="L16" i="2"/>
  <c r="O16" i="2" s="1"/>
  <c r="L36" i="2"/>
  <c r="O36" i="2" s="1"/>
  <c r="L49" i="2"/>
  <c r="O49" i="2" s="1"/>
  <c r="L50" i="2"/>
  <c r="O50" i="2" s="1"/>
  <c r="L51" i="2"/>
  <c r="O51" i="2" s="1"/>
  <c r="L52" i="2"/>
  <c r="O52" i="2" s="1"/>
  <c r="L38" i="2"/>
  <c r="O38" i="2" s="1"/>
  <c r="L53" i="2"/>
  <c r="O53" i="2" s="1"/>
  <c r="L54" i="2"/>
  <c r="O54" i="2" s="1"/>
  <c r="L64" i="2"/>
  <c r="O64" i="2" s="1"/>
  <c r="L17" i="2"/>
  <c r="O17" i="2" s="1"/>
  <c r="L60" i="2"/>
  <c r="O60" i="2" s="1"/>
  <c r="L55" i="2"/>
  <c r="O55" i="2" s="1"/>
  <c r="L56" i="2"/>
  <c r="O56" i="2" s="1"/>
  <c r="L57" i="2"/>
  <c r="O57" i="2" s="1"/>
  <c r="L39" i="2"/>
  <c r="O39" i="2" s="1"/>
  <c r="L46" i="2"/>
  <c r="O46" i="2" s="1"/>
  <c r="L40" i="2"/>
  <c r="O40" i="2" s="1"/>
  <c r="L41" i="2"/>
  <c r="O41" i="2" s="1"/>
  <c r="L47" i="2"/>
  <c r="O47" i="2" s="1"/>
  <c r="L58" i="2"/>
  <c r="O58" i="2" s="1"/>
  <c r="L42" i="2"/>
  <c r="O42" i="2" s="1"/>
  <c r="L48" i="2"/>
  <c r="O48" i="2" s="1"/>
  <c r="L43" i="2"/>
  <c r="O43" i="2" s="1"/>
  <c r="L61" i="2"/>
  <c r="O61" i="2" s="1"/>
  <c r="L44" i="2"/>
  <c r="O44" i="2" s="1"/>
  <c r="L62" i="2"/>
  <c r="O62" i="2" s="1"/>
  <c r="L59" i="2"/>
  <c r="O59" i="2" s="1"/>
</calcChain>
</file>

<file path=xl/sharedStrings.xml><?xml version="1.0" encoding="utf-8"?>
<sst xmlns="http://schemas.openxmlformats.org/spreadsheetml/2006/main" count="680" uniqueCount="281">
  <si>
    <t xml:space="preserve"> - Diffusion des documents et sensibilisation par les affichages obligatoires,
 - Accès aux brochures contenant les informations relatives aux risques sur l'intranet lien: http://intra.dram-mediterranee.i2/les-risques-psychosociaux-r829.html
 - Sensibilisation et formation des managers à la gestion des conflits et à la lutte contre le sexisme au travail.</t>
  </si>
  <si>
    <t>P2</t>
  </si>
  <si>
    <t>- Affichages obligatoires sur certains site, 
 - Remontées hiérarchiques, possibilité de s'orienter vers le médecin de prévention ou les ASS qui peuvent proposer des mesures individuelles concernant la situation du salarié victime,
 - Possibilité de faire des remontées par le registre santé sécurité au travail sur l'intranet lien: http://intra.dirm-mediterranee.e2.rie.gouv.fr/saisie-d-une-remarque-a1849.html</t>
  </si>
  <si>
    <t>Fatigue, anxiété, désengagement social, troubles du sommeil, stress post-traumatique, tachycardie, sueurs, tremblements, crises, atteintes somatiques, angoisse, cauchemars, désinvestissement, absentéisme, isolement, perte de productivité, conflits avec les agents et troubles de la concentration, gestes suicidaires.</t>
  </si>
  <si>
    <t>Harcèlement moral, sexuel, agissements sexistes, discrimination, situations de violences verbales, physiques, sexuelles.</t>
  </si>
  <si>
    <t>Risques psychosociaux (RPS)</t>
  </si>
  <si>
    <t>P3</t>
  </si>
  <si>
    <t>Troubles physiques, psychologiques : surcharge mentale, stress, dépression nerveuse, psychopathologies.</t>
  </si>
  <si>
    <t>Dysfonctionnements organisationnels et relationnels : surcharge ou intensité du travail, manque d’autonomie ou de moyens, pression liée aux objectifs, fragilité du dimensionnement du service (fonctionnement en mode dégradé), relations difficiles avec le public ou la hiérarchie, et mauvaise qualité des rapports sociaux.</t>
  </si>
  <si>
    <t>Demande d’avis du médecin de prévention sur la vaccination contre l’hépatite A des agents qui effectuent des visites PSC.</t>
  </si>
  <si>
    <t>- Carnet de vaccination à jour selon les recommandations de l’OMS en fonction des pays visités. 
- Prise en compte des recommandations du ministère des affaires étrangères.
- Suivi médical annuel.
- Pour le contrôle des bétaillères, programmation de la visite avant l’arrivée des animaux.</t>
  </si>
  <si>
    <t>MARTINEZ.P JEHANNO.P</t>
  </si>
  <si>
    <t>Décès, maladie.</t>
  </si>
  <si>
    <t>Exposition lors de déplacements à l’étranger ou personnel venant de l'étranger</t>
  </si>
  <si>
    <t>Risque sanitaire : transmission de maladies, infections, allergies.</t>
  </si>
  <si>
    <t>Tous sites inspections CSN  (Navires, ateliers, chantiers ..)</t>
  </si>
  <si>
    <t>CSN PACA Corse et Occitanie</t>
  </si>
  <si>
    <t>6. CSN</t>
  </si>
  <si>
    <t>- Contrôle des cuisines, réfrigérateurs et cambuses.
- Consommation de boissons en bouteille. 
- Contrôle des vaccinations requises par le médecin de prévention.</t>
  </si>
  <si>
    <t>Infections alimentaires, intoxication, maladies diverses (leptospirose...).</t>
  </si>
  <si>
    <t>Contamination par ingestion accidentelle de bactéries, virus, parasites pathogènes alimentaires, lors de la prise de repas (par défaut d’hygiène : alimentaires, des locaux).</t>
  </si>
  <si>
    <t>- Consulter le DICRIM* de la commune pour être informer, se préparer et se protéger de ces risques présents près de chez-soi et au travail, lien intranet : http://intra.dram-mediterranee.i2/le-risque-de-force-majeure-a2169.html
 - S'informer auprès des services de la commune sur les mises à jours des DICRIM* et diffuser l'information au personnel.
 *DICRIM: Document d'Information Communal sur les Risques Majeurs
- En cas d'alerte prendre les consignes, s'organiser et anticiper  (SNA signal d'alerte et d'information, radio, internet, réseaux sociaux..).</t>
  </si>
  <si>
    <t>Pas de retours des connaissances et d'adoption de comportements
adaptés aux menaces. Cette information se fait logiquement au travers du Document d'Information Communal sur les Risques Majeurs (DICRIM).
Lien intranet: 
http://intra.dram-mediterranee.i2/le-risque-de-force-majeure-a2169.html</t>
  </si>
  <si>
    <t>Tous types de dommages liés à la nature de la catastrophe ou l'événement</t>
  </si>
  <si>
    <t xml:space="preserve">Les cas de force majeure sont des situations imprévisibles qui échappent au contrôle des personnes et sont par nature inévitables : risques naturel (feu de forêt, séisme.., événement climatique exceptionnel : canicule, inondation…), risques technologiques (industriel, transport de matières dangereuses...) &amp; d'autres risques (risque terroriste..) </t>
  </si>
  <si>
    <t>Risque de force majeure</t>
  </si>
  <si>
    <t>Archivage des consignes sanitaires et fiches réflexe.</t>
  </si>
  <si>
    <t>- Pour le contrôle des bétaillères, programmation de la visite avant l’arrivée des animaux.
- Veille des consignes sanitaires, port des EPI jetables recommandés._x000D_</t>
  </si>
  <si>
    <t>Morsures, blessures, maladies (grippe aviaire, peste porcine..).</t>
  </si>
  <si>
    <t>Présence d’animaux à bord de navire.</t>
  </si>
  <si>
    <t>Risque lié à la présence d'animaux</t>
  </si>
  <si>
    <t>- Repérer les écarts dans la maîtrise des outils numériques au sein des équipes et former ceux qui en ont besoin.
- Identifier les éventuels sentiments d’inégalité ou d’iniquité de traitement dans l’accès au télétravail, dans la répartition de la charge de travail et échanger pour lever les incompréhensions.
- Organiser régulièrement des réunions d’équipe au complet, dans la mesure du possible en présentiel.
- Consulter la brochure d'information accessible sur l'intranet concernant les risques du télétravail, le lien: 
http://intra.dirm-mediterranee.e2.rie.gouv.fr/IMG/pdf/teletravail_dirmmed1_cle79ff51.pdf</t>
  </si>
  <si>
    <t xml:space="preserve">  - Possibilité de s'orienter vers le médecin de prévention et / où vers le pôle de prévention en lien avec le service informatique pour une demande d'adaptation des postes de travail et  fourniture de matériels informatiques et bureautiques (écran, souris, repose pieds...).
 - Accès à distance aux applicatifs, aux ressources et aux données disponibles habituellement sur site, dans le respect du droit à la déconnexion,
- signal d'indication hors horaire dans la messagerie mélanie2.
- Assistance à distance pour l’usage des outils informatiques et de communication.
 - Précautions à prendre communiquées en matière de sécurité des données.
 - Brochure d'information accessible sur l'intranet concernant les risques du télétravail, le lien: http://intra.dirm-mediterranee.e2.rie.gouv.fr/IMG/pdf/teletravail_dirmmed1_cle79ff51.pdf
 - Installation (dans la mesure du possible) dans un espace de travail dédié (ou mieux dans une pièce isolée) afin de ne pas être dérangé, aménagement de poste de travail pour travailler dans de bonnes conditions et de façon à limiter les risques de troubles musculosquelettiques.
 - Pauses régulières afin de permettre des phases de repos visuel, de bouger, et ainsi d'éviter de maintenir la posture assise trop longtemps (pauses de cinq minutes toutes les heures par exemple).</t>
  </si>
  <si>
    <t xml:space="preserve"> - Baisse des performances visuelles, sensation de lourdeur des globes oculaires, rougeurs, picotements, éblouissements, une myopie temporaire, les yeux secs, des maux de tête,
 - Troubles musculosquelettiques (TMS): contraintes posturales (épaules, coudes, poignets…) et du rachis (cervical, dorsal, lombaire).
 - Pathologies cardiovasculaires (hypertension artérielle, insuffisance cardiaque…),
 - Troubles métaboliques dù à la sédentarité (pathologies, maladies, obésité, dépression…).</t>
  </si>
  <si>
    <t>- Mauvaise ergonomie (TMS dûs à la posture, la taille d'écran et l'ajustement du siège..),
- L’exposition importante aux écrans de visualisation (et en particulier à la lumière bleue),
- La diminution de l’exposition à la lumière naturelle au cours de la journée (voir risque 28 lié au travail sur écran),
- Endormissements et réveils plus tardifs,
- La baisse de la pratique de l’activité physique,
- L’augmentation de la charge de travail et l’enchaînement de longues journées de travail,
- L’accès plus complexe aux informations (reporting du travail),
- Les problèmes techniques lors de l’utilisation des outils numériques (voir risque 29 lié aux conditions de travail particulières: horaires décalés, astreinte),
- La complexification des interactions sociales nécessaires à la réalisation du travail,
- L’érosion des moments de convivialité, 
- L’isolement du collectif, la perte du sentiment d’appartenance ; le contrôle et les actions de reporting du travail à distance excessifs,
- L’isolement et le manque de soutien face au travail et aux problèmes éventuels,
- Le questionnement sur le sens du travail,
- La porosité entre la sphère professionnelle et la sphère privée (voir risques 33 psychosociaux: stresse, violence morale...).</t>
  </si>
  <si>
    <t>Risque lié au poste en télétravail</t>
  </si>
  <si>
    <t>- Symptômes respiratoires, (asthme, allergies).
- Maladies, infections et intoxications, réactions allergiques, cutanées.
- Transmissibilité à l'homme de différentes formes de virus (Grippe, Covid..), de bactéries, de champignons, de parasites.</t>
  </si>
  <si>
    <t>Exposition à des agents infectieux (bactéries*, virus*, champignons,parasites) ou allergènes (pollens, insectes..), transmis par contact avec l’environnement, les gens, les animaux, les insectes, la végétation (exemple lors de contact avec des personnes contaminées, des insectes, moisissures, animaux morts, des éléments souillés : poignée de porte, détritus divers, matières fécales).
* Analyse de situations d’expositions et impact épidémique (Ex : Angine, Grippe, Covid..) :
• Exposition par contact interpersonnel: risque de transmission directe par postillons contaminés émis par autrui :
      - Parler projette des postillons à environ 1,5 m,
      - Éternuer, tousser les projette à environ 3-5 m.
• Exposition par contact avec des surfaces contaminées : locaux de travail, matériels, produits : risque de transmission indirecte par manuportage (en se touchant le visage notamment le nez, la bouche, les yeux avec les mains).      
• Impact organisationnel (mode dégradé), associé à une restructuration de l’activité. Il est d’autant plus fort si la réorganisation se fait « à chaud », en réaction, et non sur la base d’une anticipation.</t>
  </si>
  <si>
    <t>Prendre les consignes auprès du coordinateur de chantier, sensibilisation aux risques des activités de chantier._x000D_</t>
  </si>
  <si>
    <t>- Mise à disposition de protections individuelles (casque ,lunettes, gants, chaussures, vêtements de travail).
- Respect des consignes du bord et/ou du chantier naval._x000D_</t>
  </si>
  <si>
    <t>Traumatisme oculaire, brûlure.</t>
  </si>
  <si>
    <t>Proximité d’activité de meulage, soudure (navire, chantier naval).</t>
  </si>
  <si>
    <t>Risque lié à la co-activité et à l'intervention d'entreprises extérieures</t>
  </si>
  <si>
    <t>- Systématisation des inspections et analyses communes préalables (obligation réglementaire) à chaque intervention, pouvant conduire suivant la nature des travaux, à la rédaction d’un plan de prévention (y compris attestation de consignation, protocole de sécurité, permis de feu, etc...).
- Intégration de cette procédure dans les appels d’offres.</t>
  </si>
  <si>
    <t>- Réalisation partielle de plan de prévention, signalisation, étiquetage.
- Inspections communes au préalable avec aide du document RSICP.</t>
  </si>
  <si>
    <t>Tous types de dommages (liés à la situation accidentelle imprévue, non évaluée).</t>
  </si>
  <si>
    <t>- Absences de mesures de protections pour prévenir les risques liés aux interférences engendrées par la co-activité sur un même site (ex : intervention des entreprises de nettoyage sans plan de prévention : sols glissants, stockages et utilisation de produits ménagers présentant des risques, mélanges de produits).
- Interférence des activités lors d’intervention ou de travaux (non évalués) effectués à proximité et/ou dans les locaux administratifs par des entreprises extérieures.</t>
  </si>
  <si>
    <t>Locaux-bureaux tous CSN</t>
  </si>
  <si>
    <t xml:space="preserve">- Information et instructions sur l’organisation et mesures aux agents susceptibles d’être dans ces situations,
- définition explicite des tâches assignées afin d’éviter toute ambiguïté, tout dépassement et pour amener à une prise de conscience de la problématique . </t>
  </si>
  <si>
    <t>Téléphones mobiles, tout moyen de communication permettant un contact régulier, fréquent et un suivi à distance avec les collègues, la famille.</t>
  </si>
  <si>
    <t>Divers, dommages aggravés par l’impossibilité de prévenir les secours.</t>
  </si>
  <si>
    <t>Lorsque un agent travaille seul pendant un certain temps, dans un environnement où il ne peut être vu et entendu directement par d’autres et où la probabilité de visite est faible (la durée d’isolement majorant le risque).</t>
  </si>
  <si>
    <t>Risque lié aux interventions isolées</t>
  </si>
  <si>
    <t>- Généralisation des solutions ergonomiques, étude du poste de travail (contacter le CP si besoin).
- Consultation des nombreux guides conseils en ligne .</t>
  </si>
  <si>
    <t>- Information sur environnement de travail, pauses régulières toutes les 2h, alternance des tâches,
- Préconisations ergonomie aux agents installés à Zattara (remplacement de certains fauteuils).
- Aménagements de certains postes : acquisition, remplacement et adaptation du matériel de bureau afin d’améliorer l’ergonomie (plan de travail ,fauteuil, écrans, portes-documents, repose-pieds..)._x000D_</t>
  </si>
  <si>
    <t>- Fatigue visuelle (maux de tête, picotements, rougeurs et lourdeur des globes oculaires, assèchement de l’oeil).
- Troubles musculo-squelettiques (TMS).</t>
  </si>
  <si>
    <t>Travailler sur un écran plusieurs heures au cours de la journée, avec une mauvaise ergonomie du poste de travail.</t>
  </si>
  <si>
    <t>Risque lié au travail sur écran</t>
  </si>
  <si>
    <t>Pas de mesure</t>
  </si>
  <si>
    <t>Apparition de troubles musculo-squelettiques et vasculaires.</t>
  </si>
  <si>
    <t xml:space="preserve">Vibrations régulièrement transmises à l’ensemble du corps du personnel </t>
  </si>
  <si>
    <t>Risque lié aux vibrations</t>
  </si>
  <si>
    <t>La contamination bactérienne par les  voies respiratoires provoque la légionellose (pneumopathie pouvant  laisser des séquelles graves sur les plans cardiaques, respiratoires et musculaires et entraîner le décès).</t>
  </si>
  <si>
    <t>Lors d’inhalation d’aérosols émis par  la vapeur d’eau chaude sanitaire  contaminée par des légionelles* au  points d’usages. 
* Le risque de prolifération de la  bactérie légionella pneumophila  favorisé par une température de  l’eau de 25° à 43° (installations d’eau  chaude sanitaire, réserve stagnante, cumulus peu utilisés, bras morts).</t>
  </si>
  <si>
    <t>P1</t>
  </si>
  <si>
    <t xml:space="preserve">- Prévoir en l’absence de point d’eau sur site d’intervention : un jerrican d’eau, du savon et des essuie-mains à usage unique ou du produit hydroalcooliques désinfectant (les gels anti-bactérien ne remplacent pas l’eau et le savon).
- En période d'épidémie (grippe, Covid..), mise en application :
=&gt; des consignes principales (hygiène des mains, mesures barrières, distanciation physique,…),
=&gt; du plan de continuité d’activité (en fonction des différents niveaux),
=&gt; du plan de reprise des activités et des procédures spécifiques définisant les mesures de protection (organisationnelles, collectives, individuelles..) à mettre en œuvre au sein des services en fonction des diverses activités afin de réduire la propagation du virus (ré-évaluation nécessaire des risques, en incluant les situations liées au Covid-19).
- Remontées des besoins en équipements et protections spécifiques.
</t>
  </si>
  <si>
    <t>- Vérification régulière si pas de contre indications médicale (état psychosocial) pour les agents en situation isolé.
Suivi du plan d’actions RPS :
- remontées systématiques d’incidents,
- formation gestion des mails à proposer.</t>
  </si>
  <si>
    <t>Lésions corporelles, superficielles ou profondes, décès.</t>
  </si>
  <si>
    <t>- Accident de trajet ou de mission lié à la fréquence et à la longueur des déplacements (particulièrement lors de déplacements pour entraide Sète et Port de Bouc A/R).
- Transport de matériel (remorque double essieu 3,5T).
- Risque accentué par la fatigue, la prise d’alcool ou de médicaments, l’état du véhicule et la météo.
Pour rappel (cf. R.21 risque de chute d’objets) : Le déplacement intempestif d’une charge mal arrimée dans l‘habitacle peut entraîner une perte de contrôle du véhicule.</t>
  </si>
  <si>
    <t>Risque routier</t>
  </si>
  <si>
    <t>- Politique de prévention à mettre en place (charte addictions).
- Affichage obligatoire de l’interdiction de fumer et de vapoter dans tous lieux fermés et couverts qui accueillent du public ou qui constituent des lieux de travail (modèle de signalisation fourni sur demande au CP).</t>
  </si>
  <si>
    <t>- Interdiction de fumer et de vapoter affichée dans certains locaux et lieux de travail.
- Rappel des textes réglementaires.
- Note interne n°270 du 14/03/14 diffusée aux services « politique de la DIRM MED en matière de prévention des risques liés à la consommation d’alcool » .</t>
  </si>
  <si>
    <t>- Lésions corporelles, décès, 
- pathologies liées à la consommation de ces substances,
- affections psychiques,
- Tabagisme : maladies, cancers, insuffisance respiratoire.</t>
  </si>
  <si>
    <t>- Consommation de substances psychoactives pouvant altérer les facultés physiques et psychiques de l’individu et entraîner des accidents du travail ou de circulation (manque de vigilance, perte d’équilibre, diminution des réflexes, effet désinhibant conduisant à la prise de risque).
- Tabagisme et vapotage actif, passif.</t>
  </si>
  <si>
    <t>Risque lié à l'alcool, drogues, médicaments, tabac.</t>
  </si>
  <si>
    <t>Décès, traumatisme.</t>
  </si>
  <si>
    <t xml:space="preserve">Accident avec véhicule de manutention (piéton et voiture).
</t>
  </si>
  <si>
    <t>Médication à prévoir._x000D_</t>
  </si>
  <si>
    <t>Mal de mer.</t>
  </si>
  <si>
    <t xml:space="preserve">Mauvaises conditions météo à bord d’un navire. </t>
  </si>
  <si>
    <t>Risque lié aux conditions de travail particulières (horaires décalés, astreinte..)</t>
  </si>
  <si>
    <t>Informer le consulat du déplacement de la commission de visite (ordre de mission)._x000D_</t>
  </si>
  <si>
    <t>- Prise en compte des recommandations du ministère des affaires étrangères. 
- Interdiction de déplacement dans certains pays (ex : Nigéria)._x000D_</t>
  </si>
  <si>
    <t>Traumatismes psychologiques ou physiques.</t>
  </si>
  <si>
    <t>Risques d’agression lors de déplacements professionnels à l’étranger</t>
  </si>
  <si>
    <t>Risque agression / agressivité lié au contact avec l'extérieur</t>
  </si>
  <si>
    <t>- Remontées systématique d'incidents pour prise en compte ultérieure.</t>
  </si>
  <si>
    <t>- Téléphones portables.
- Procédure interne de signalement des agressions.
- Visite conduite par 2 inspecteurs lorsqu’un risque d’agression est identifié.</t>
  </si>
  <si>
    <t>Traumatisme physique et psychique, stress.</t>
  </si>
  <si>
    <t>Relations conflictuelles avec le public (agressions verbales ou physiques)</t>
  </si>
  <si>
    <t>- Port de protections individuelles (Masque FFP1, lunettes ou masque de protection des yeux en cas de vent).
- Surveillance médicale annuelle.
- Réalisation de vestiaires conformes dans les locaux du CSN PACA Corse (armoires à doubles compartiments, douches).
- Certains sites sont équipés de lave-linge.</t>
  </si>
  <si>
    <t>Irritations des muqueuses, affections respiratoires._x000D_</t>
  </si>
  <si>
    <t>Exposition aux poussières et particules diverses (céréales, charbon, poussières de fibres de verre dans les chantiers ou lors de travaux à bord...)._x000D_</t>
  </si>
  <si>
    <t>Risque lié à la qualité de l'air</t>
  </si>
  <si>
    <t>Vigilance sur le réglage de la climatisation: Il est fortement déconseillé de dépasser les 8°C d'écart entre l'intérieur et l'extérieur (ex pour  30°C à l’extérieur il serait raisonnable de se contenter de 22°C minimum à l'intérieur)._x000D_</t>
  </si>
  <si>
    <t>- Entretien régulier des climatiseurs (en interne ou par une entreprise extérieure).
- Aération régulière les locaux.
- Respect des amplitudes de réglage.</t>
  </si>
  <si>
    <t>Problèmes respiratoires et ORL, irritations oculaires ou cutanées, choc thermique, maux de tête.</t>
  </si>
  <si>
    <t>Lors de manque d'entretien des climatiseurs + non respect des précautions d'usages (amplitude supérieure à 8°C néfaste à la santé), mauvaise ventilation naturelle ou mécanique.</t>
  </si>
  <si>
    <t>Veiller à la mise en application des mesures actuelles (existantes).</t>
  </si>
  <si>
    <t>Lampe portable (frontale à privilégier avec piles de remplacement, indispensable dans la dotation) et projecteurs d’appoint._x000D_</t>
  </si>
  <si>
    <t xml:space="preserve">Lésions corporelles, superficielles ou profondes. </t>
  </si>
  <si>
    <t>Déplacements ou travail dans une zone mal éclairée.</t>
  </si>
  <si>
    <t>Risque lié à l'éclairage</t>
  </si>
  <si>
    <t>- Circulation à pied sur sol glissant, inégal ou présentant des obstacles pouvant entraîner une chute ou occasionner la torsion d'une articulation ou un choc contre un élément matériel. (Ex : escaliers ou sol irréguliers, encombrement des passages, présence sur le sol de divers objets comme les cartons, archives, les prolongateurs électriques, informatiques et bureautiques.
- Collision avec un véhicule.</t>
  </si>
  <si>
    <t>Risque lié aux déplacements internes</t>
  </si>
  <si>
    <t>- Généralisation des solutions d'adaptations ergonomiques (consultation des nombreux guides conseils en ligne, voir R.28), étude de l’éclairement du poste de travail (contacter le CP si besoin).
- Consultation des nombreux guides conseils en ligne.</t>
  </si>
  <si>
    <t>- Lampes de bureaux d’appoint individuelles, stores aux fenêtres, relamping sur certains sites
- Etude et recommandations formulées sur le type d’éclairage optimal sur certains postes.</t>
  </si>
  <si>
    <t>Effets oculaires, visuels et généraux (maux de tête, fatigue, agressivité..).</t>
  </si>
  <si>
    <t>Éclairage trop puissant, trop faible ou non adapté au poste de travail.</t>
  </si>
  <si>
    <t>Adapter les dispositions en fonction des conditions climatiques.</t>
  </si>
  <si>
    <t>- Port des vêtements adaptés aux ambiances thermiques (lunettes, gants, combinaisons pour le froid, chaussures de sécurité pour le froid, bonnet), mise à disposition de boissons.
- Prise en compte des ambiances thermiques dans la planification des tâches.</t>
  </si>
  <si>
    <t>Engelures, gerçures, hypothermie / hyperthermie, malaise, insolation, déshydratation.</t>
  </si>
  <si>
    <t>Travail dans des conditions de températures extrêmes (froid / chaud)</t>
  </si>
  <si>
    <t>Risque lié à l'ambiance thermique</t>
  </si>
  <si>
    <t>- Suivi médical (contrôle des contre-indications physiques lors de la visite médicale annuelle), aménagements de poste sur prescription du médecin de prévention.
- Hydratation et limitation du temps d’exposition.</t>
  </si>
  <si>
    <t>Fatigue, irritation de la peau, hyperthermie, malaise, déshydratation.</t>
  </si>
  <si>
    <t>Température élevée en intérieur.</t>
  </si>
  <si>
    <t>- Les modèles polycarbonate se rayent facilement : prévoir leur renouvellement et/ou un étui de stockage.
Rappel des bonnes pratiques (port de casquette, et vêtements adaptés, etc...), renouvellement des dotations d’EPI (lunettes de soleil avec indice UV adapté et crème solaire).</t>
  </si>
  <si>
    <t>- Port de lunettes de protection solaires à indice UV adapté (si possible polarisées).
- Prise en compte de l’exposition prolongée au soleil dans la programmation des inspections en extérieur.</t>
  </si>
  <si>
    <t>Cancer de la peau, brûlures, mélanomes, lésions oculaires.</t>
  </si>
  <si>
    <t>Exposition prolongée et intense au soleil (éblouissement, rayonnement solaire, réflexion sur la mer).</t>
  </si>
  <si>
    <t>- Formalisation du partenariat avec l’ASN.
- Complément de formation du personnel concerné si possible par un spécialiste (ASN).
- Information aux agents des risques auxquels ils sont exposés, suivi médical approprié (décret 2003-296).
- Réflexion sur la mise à disposition de matériel adapté (film enregistreur, dispositif de mesure des radiations avec alarme).
- Ciblage des lignes à risques sur trafic illicite.</t>
  </si>
  <si>
    <t>Visites systématiquement effectuées conjointement avec des inspecteurs de la sûreté nucléaire (ASN).</t>
  </si>
  <si>
    <t>Stérilité, lésions diverses (brûlures, nécroses, cataracte), cancer.</t>
  </si>
  <si>
    <t>Exposition aux sources radioactives naturelles ou externes</t>
  </si>
  <si>
    <t>Risque lié aux rayonnements ionisants et non ionisants (électromagnétiques)</t>
  </si>
  <si>
    <t>Vigilance particulière.</t>
  </si>
  <si>
    <t xml:space="preserve">- Respect des consignes de sécurité élémentaires (stopper le radar), respect des périmètres d’évitement autour des zones d’émission de sources radioélectriques.
- Pas de déplacements seul à bord. </t>
  </si>
  <si>
    <t>Stérilité, lésions diverses (brûlures, nécroses), cancer.</t>
  </si>
  <si>
    <t>Exposition aux champs électromagnétiques haute fréquence</t>
  </si>
  <si>
    <t>Vigilance sur l’état apparent des fusées et lance amarres avant leur manipulation._x000D_</t>
  </si>
  <si>
    <t>Brûlures légères à graves, dommages, lésions.</t>
  </si>
  <si>
    <t>Explosion accidentelle lors d’un contrôle des fusées de détresse, de lance amarre.</t>
  </si>
  <si>
    <t>Risque lié à l'utilisation de produits pyrotechniques</t>
  </si>
  <si>
    <t>- Sensibilisation, formation aux consignes de sécurité spécifiques des terminaux à risque (étude faisabilité sur tous les ports de la façade).
- Rédaction d’une liste spécifique pour chaque établissement industriel (équipement, formation, consignes de sécurité,exposition variant selon les sites).
- Définition des dotations d'EPI et vêtement de travail en fonction des sites portuaires et des navires.
- Test de fonctionnement et étalonnage régulier des détecteurs à réaliser (périodicité d'étalonnage tous les 6 mois et révision de la centrale tous les 24 mois ).</t>
  </si>
  <si>
    <t>- Respect des consignes de sécurité : du bord (extinction des téléphones et appareil photo notamment) et des sites (installation portuaire  si existantes et communiquées).
- Mise à disposition de 20 détecteurs gaz* (5 Sète, 1 Corse, 6 Martigues, 8 MRS) et de kits d’évacuation EEB , respect des procédures bord si existantes et communiquées (ventilation préalable des locaux et autorisation expresse du capitaine et du Port)._x000D_</t>
  </si>
  <si>
    <t>Brûlures légères à graves, dommages, lésions, décés.</t>
  </si>
  <si>
    <t>Risque d’explosion externe (installations SEVESO, navires-citernes, réservoirs)</t>
  </si>
  <si>
    <t>Risque explosion</t>
  </si>
  <si>
    <t>Accidents, traumatisme corporel, risque psychologique.</t>
  </si>
  <si>
    <t>Horaires décalés, ou atypiques, Éloignement en mer Mission à l'étranger</t>
  </si>
  <si>
    <t>- Suivi périodique de la conformité des installations électriques (à renseigner dans la fiche sécurité du DUERP), levées de réserves pour rétablir la conformité en partie assurées.
- Utilisation du matériel conformément aux spécifications du fabricant.</t>
  </si>
  <si>
    <t>- Vérification visuelle de l’état du matériel électrique (ex :prolongateurs) avant usage, signalement de l’état du matériel endommagé à la hiérarchie et remplacement.
- Acquisition de matériel conforme à la norme en vigueur, respect de la puissance maximale indiquée sur les prolongateurs et multiprises.
- Maintient des portes des tableaux et coffrets en position fermée.
- Vérification périodique des installations électriques assurrée, pour rétablir la conformité des installations (levée des observations/réserves).
- Reçyclage habilitation du personnel concerné (suivi du titre à assurer).</t>
  </si>
  <si>
    <t>Pascal JEHANNO</t>
  </si>
  <si>
    <t>Electrocution (décés), électrisation: fibrillation, lésions internes ou externes. Brûlures par arc électrique, incendie, explosion.</t>
  </si>
  <si>
    <t>Présence ou utilisation de matériel, d’équipements ou d’installations électriques défectueux, obsolètes ou non conformes (pièces nues sous tension, défaut d’isolation, absence de mise à la terre, surcharge de multiprises ou de prolongateurs).</t>
  </si>
  <si>
    <t>Risque électrique</t>
  </si>
  <si>
    <t xml:space="preserve">Martigues-Antenne CSN PACA Corse </t>
  </si>
  <si>
    <t>CSN PACA Corse (Antenne)</t>
  </si>
  <si>
    <t>1. Communication du DTA du site à tout prestataire/intervenant (prévu par le plan de prévention en cas de co-activité) afin de justifier la non présence d’amiante,
2. Réaliser un repérage avant travaux (obligatoire cf.arrêté du 16 juillet 2019*) afin de rechercher la présence d’amiante dans le bâti, préalablement à toute opération comportant des risques d’exposition des travailleurs.
*Obligatoire au préalable à tous travaux ou intervention, même si auparavant un repérage a était réalisé. La liste de recherche des matériaux et produits contenants de l’amiante avant travaux (liste C non exhaustive) et plus approfondie et s’étend jusqu’au matériau caché dans les supports de constructions.</t>
  </si>
  <si>
    <t>1. Réalisation de repérages des MPCA puis constitution des dossiers techniques amiante (DTA = synthèse des diagnostics et actions) du site.
2. Communication de repérages au CP (voir document attaché) pour actualiser le tableau de synthèse mis en ligne sur l’intranet (dont le but est de : faciliter la consultation de l’historique par site et permettre l’identification des matériaux/produits contenants de l’amiante et donc éviter toute intervention malencontreuse dessus ou à proximité).
3. Pas de présence d’amiante repérée dans le bâti.</t>
  </si>
  <si>
    <t>Pathologies liées à l’amiante (asbestose, cancer du poumon, mésothéliome.), plaques pleurales.</t>
  </si>
  <si>
    <t>Inhalation accidentelle de fibres d’amiante en suspension dans l’atmosphère, due :
à la présence de matériaux et produits contenant de l’amiante (MPCA) friables ou dégradés dans les locaux, bâtiments, ou équipements non diagnostiqués (défaut ou absence de DTA), y compris à bord de navires ou sur sites déportés ;
à l’intervention malencontreuse d’un agent ou d’un tiers sur des MPCA par manque d’identification, d’information ou de signalisation préalable.</t>
  </si>
  <si>
    <t>Risque Amiante</t>
  </si>
  <si>
    <t>Hypoacousie de perception par lésion cochléaire irréversible, accompagnée ou non d’acouphènes.</t>
  </si>
  <si>
    <t>Environnement bruyant</t>
  </si>
  <si>
    <t>Risque lié au bruit</t>
  </si>
  <si>
    <t>Des Antennes du CSN (PACA Corse et Occitanie) sont hébergées sur plusieurs sites.
Pour ce risque veuillez vous reporter au site hébergeur dans l’unité « 8.GESTIONNAIRE SITE » pour visionner les mesures (existantes ou à proposer) qui concernent l’Antenne du CSN.</t>
  </si>
  <si>
    <t>Antennes CSN (agents hébergés) en PACA, Corse et Occitanie</t>
  </si>
  <si>
    <t>- Suivi médical du MDP et permanence ASS, groupe de coordination médico-social.
- Mise en œuvre d’un plan d’évaluation et de prévention des RPS dans le cadre du plan national d’action, plan d’actions en cours.</t>
  </si>
  <si>
    <t>Pollution atmosphérique en constante évolution contenant divers polluants pouvant être à l’origine d’effets sur la santé, sur certains sites le phénomène est accentué par le rejet des navires, le trafic routier dense et les industries environnantes. Interactions possibles entre polluants chimiques, pollens et température.</t>
  </si>
  <si>
    <t>Port d'un masque FFP3 (filtration des particules fines).</t>
  </si>
  <si>
    <t>- Surveillance médicale.
- Consultations des sites de surveillance de la qualité de l’air et adaptation des tâches à réaliser.</t>
  </si>
  <si>
    <t>Diverses pathologies chroniques (cancers, pathologies cardiovasculaires et respiratoires, irritations oculaires, maux de tête) selon le niveau d’exposition.</t>
  </si>
  <si>
    <t xml:space="preserve">* Veille, diffusion et respect des consignes sanitaires gouvernementales.
- Mise à jour du carnet de vaccination.
- Fiche réflexe EBOLA de la DAM.
</t>
  </si>
  <si>
    <t>Maladie bénigne à mortelle (SRAS, grippe A, tuberculose, Ebola, Marbour...).</t>
  </si>
  <si>
    <t>- Lavage des mains régulier pour se décontaminer et éviter de contaminer les autres ou utilisation de produit hydroalcooliques désinfectant (les gels anti_x0002_bactérien ne remplacent pas l’eau et le savon).
- En général pas de contact des mains souillées avec ses yeux, son nez, sa bouche.
- Vestiaires, douches, matériel de lavage des vêtements._x000D_</t>
  </si>
  <si>
    <t>Démarche préventive et consignes : 
- vérifications des installations d’eau chaude sanitaire particulièrement si présence de bras morts et/ou peu utilisées,
- éventuellement analyses de l’eau,
- Réglage et maintient de la température de l’eau chaude sanitaire à 45°C (mini) en sortie (robinets, douches...)
- laisser couler l’eau quand elle a stagné.
- Démarche curative : (choc thermique ,chlore)._x000D_</t>
  </si>
  <si>
    <t>- Recensement des formations nécessaires en zone sensibles, généralisation de ces formations à la sécurité ou mise en réseau des supports de formation en lien avec les gestionnaires de sites portuaires lorsque ceux_x0002_ci existe.
- Allumage systématique des warning en zone portuaire à risque.</t>
  </si>
  <si>
    <t>- Port de vêtement à haute visibilité ou chasubles fluorescents, consignes, respect des règles particulières de circulation en zone portuaire.
- Sensibilisation et formation à la sécurité des sites portuaires préalable (si existante)._x000D_</t>
  </si>
  <si>
    <t>- Recensement des besoins en marteau brise_x0002_vitre + décision commune d’emplacement commun (ex : boite à gants des véhicules).
- Prise des consignes (numéros utiles) à l’accueil des sites à risques.</t>
  </si>
  <si>
    <t>- Suivi et entretien régulier des véhicules, contrôle technique,
- dotation en téléphones portables.
- en cas de panne, accident, crevaison, panne/erreur de carburant, vol/vandalisme, perte de clés/carte démarrage contacter le n° d’assistance inscrit dans les pochettes véhicules,
- en cas de panne ou d’accident : port du gilet fluorescent, triangle de signalisation, maintien à distance de la chaussée dans l’attente de l’assistance._x000D_</t>
  </si>
  <si>
    <t>Panne en zone dangereuse (autoroute), circulation en zones industrielles portuaires, bordure de quai, sol minéralier…</t>
  </si>
  <si>
    <t>Hypothermie, lésions cérébrales, pulmonaires, problèmes cardiaques, décès.</t>
  </si>
  <si>
    <t>Chute accidentelle à l’eau / à la mer lors de travaux ou de manutentions en bordure de quai, lors d’exercices ou d’interventions sur falaises, digues, enrochements ou moyens nautiques, lors d’embarquement, de débarquement, de transbordement ou en cours de navigation, ainsi que lors de circulations ou accès peu sécurisés autour des ESM, navires, quais ou balises.</t>
  </si>
  <si>
    <t>Risque de noyade</t>
  </si>
  <si>
    <t>Configuration accidentogène des navires et déplacements à bord</t>
  </si>
  <si>
    <t>Risque de chute de hauteur et de plain pied</t>
  </si>
  <si>
    <t>Appréciation de la situation par le cadre de permanence, réflexion sur l’utilité et les modalité de l’intervention, recherche d’une alternative._x000D_</t>
  </si>
  <si>
    <t>Traumatisme léger à mortel, noyade, tout type d'accident, mal de mer.</t>
  </si>
  <si>
    <t>Intervention avec l’équipe d’évaluation à bord d’un navire en difficulté (avarie, incendie...)._x000D_</t>
  </si>
  <si>
    <t>Chute de charges lourdes lors d’opérations de manutention (grues, portique, portuaire)</t>
  </si>
  <si>
    <t>Risque de chute d'objet</t>
  </si>
  <si>
    <t>Renouveler les protections auditives adaptées et sur mesure.</t>
  </si>
  <si>
    <t>- Port de (PICB) protections individuelles contre le bruit adaptés (casques antibruit, protections auditives sur mesures).
- Surveillance médicale annuelle._x000D_</t>
  </si>
  <si>
    <t>Atmosphères dangereuses en espaces clos / navires / volumes confinés</t>
  </si>
  <si>
    <t>Risque d'asphyxie</t>
  </si>
  <si>
    <t>Risque mécanique</t>
  </si>
  <si>
    <t>Utilisation de machines-outils, outillages électroportatifs et équipements mécaniques</t>
  </si>
  <si>
    <t>A long terme peut être la cause de cancers du poumon (en fonction de la concentration dans les locaux et du temps d'exposition).</t>
  </si>
  <si>
    <t xml:space="preserve">- Formations : comportement à adopter en cas de chute à l’eau.
- Vigilance particulière : 
=&gt;Prise en compte de la difficulté d’accès, éviter de monter chargé (fractionnement des charges).
=&gt;Coordination avec le pilote, prise en compte de la météo, du trafic maritime (vagues de sillage).
</t>
  </si>
  <si>
    <t>Choc, traumatisme.</t>
  </si>
  <si>
    <t>Perte de conscience, décès.</t>
  </si>
  <si>
    <t>Vigilance particulière en fonction de l’état des équipements à contrôler (essais)._x000D_</t>
  </si>
  <si>
    <t>- Protections collectives (carters), respect des procédures du bord.
- Pas de déplacements seul à bord. 
- Sensibilisation sur ce type d’accident : pas de port de vêtement flottants, cheveux longs, les bijoux (chaînes, colliers).</t>
  </si>
  <si>
    <t>Lésions diverses (pincement, coupure, écrasement)._x000D_</t>
  </si>
  <si>
    <t>Suivi médical (contrôle des contre-indications physiques lors de la visite médicale annuelle), aménagements de poste sur prescription du médecin de prévention.</t>
  </si>
  <si>
    <t>Troubles musculo-squelettiques.</t>
  </si>
  <si>
    <t>Cheminements, accès difficile à bord, notamment dans les espaces sous pont à bord des petits navires (mauvaise ergonomie du poste de travail).</t>
  </si>
  <si>
    <t>Risque lié aux postures de travail</t>
  </si>
  <si>
    <t>Depuis le 1er juillet 2018, la réglementation intègre ce risque dans la démarche de prévention des risques professionnels.
Ainsi, tous les lieux de travail situés en sous-sol ou en rez-de-chaussée doivent faire l’objet d’un dépistage radon, soit par l’employeur lui-même soit par un prestataire agréé. Le but recherché étant de réduire les concentrations aussi bas que possible dans les locaux dans lesquels les agents séjournent sur des durées importantes.</t>
  </si>
  <si>
    <t>- Mise à disposition de protections individuelles (casque, lunettes, gants, chaussures, vêtements de travail).
- Sensibilisation sur ce type d’accident.</t>
  </si>
  <si>
    <t>Lésions diverses (oculaires, coupures, traumatisme), décès.</t>
  </si>
  <si>
    <t>Rupture accidentelle de canalisations en salle des machines</t>
  </si>
  <si>
    <t xml:space="preserve">Risque lié aux fluides et équipements sous-pression </t>
  </si>
  <si>
    <t xml:space="preserve">Sensibilisation sur ce type d’accident. </t>
  </si>
  <si>
    <t>Écrasement, cisaillement (dommages, lésions ,décès).</t>
  </si>
  <si>
    <t xml:space="preserve">Lors des inspections : fermeture des portes de sécurité étanches.
</t>
  </si>
  <si>
    <t>Risque lié aux automatismes</t>
  </si>
  <si>
    <t>Ecrasements, chocs : blessures diverses.</t>
  </si>
  <si>
    <t>Automatismes motorisés : barrières, portails, portes automatiques, volets roulants, optiques tournantes des phares, réenclencheurs automatiques de disjoncteurs, groupes électrogènes (automates) — risque de mise en mouvement ou de fermeture automatique.</t>
  </si>
  <si>
    <t>Le suivi des vérifications périodiques réglementaires doivent être assurés sur les sites de la DIRM (à renseigner dans la fiche sécurité du DUERP).</t>
  </si>
  <si>
    <t>Vérification périodique réglementaire (tous les 6 mois) et maintenance des systèmes (attente de retour du dernier contrôle).</t>
  </si>
  <si>
    <t xml:space="preserve">Sensibilisation, formation aux consignes de sécurité spécifiques des terminaux à risque. </t>
  </si>
  <si>
    <t xml:space="preserve">- Vérification de la qualification des nouveaux arrivants.
- Respect des consignes de sécurité du bord. </t>
  </si>
  <si>
    <t>Incendie à bord du navire ou sur les installations portuaires.</t>
  </si>
  <si>
    <t>Risque Incendie</t>
  </si>
  <si>
    <t>- Assurer, les contrôles périodiques des moyens de lutte contre les débuts d'incendies dans les locaux (à renseigner dans la fiche sécurité du DUERP), diffusion des consignes et installation d’une signalétique appropriée.
- Éviter de stocker des emballages, du matériel ou autres dans les dégagements (couloirs, portes, issues…), respecter les largeurs d’unité de passage.
- Formation à l’utilisation des extincteurs.</t>
  </si>
  <si>
    <t>Vérification périodique des dispositifs de lutte contre les débuts d’incendies dans les locaux (attente du dernier contrôle).</t>
  </si>
  <si>
    <t>Incendie d’origine électrique (court-circuit, surcharge, défaillance, foudre)</t>
  </si>
  <si>
    <t>Brûlures, lésions graves à légères.</t>
  </si>
  <si>
    <t>Électrisation, électrocution,fibrillation, lésions internes, externes.</t>
  </si>
  <si>
    <t>- Mise à disposition de protections individuelles (casque, lunettes, gants, chaussures), vêtement de travail peu inflammables.
- Respect des consignes bord, contrôle des installations du bord._x000D_</t>
  </si>
  <si>
    <t>Dispositifs de sécurité défaillants lors d'essais, proximité de conduites ou réservoirs sous pression, fuite HP en salle des machines ou compartiment moteur à bord des petits navires._x000D_</t>
  </si>
  <si>
    <t>Risque de brûlure thermique</t>
  </si>
  <si>
    <t>- Possiblité de fusionner les fichers déjà existants du suivi de la traçabilité des dechets dangereux avec la plateforme "Trackdéchets" pour être conforme à la règlementation au 1er janvier 2023,
- Information "Trackdéchets" disponible sur l'intranet : http://intra.dram-mediterranee.i2/tracabilite-des-dechets-dangereux-a2182.html</t>
  </si>
  <si>
    <t>Informations accessibles sur la plateforme TRACKDECHETS par obligation règlementaire conformément au décret 2021-321 relatif à la traçabilité des déchets dangereux, applicable au 1er janvier 2022
 lien: https://trackdechets.beta.gouv.fr/</t>
  </si>
  <si>
    <t>Déchets pouvant génerer une nuisance à l'Homme et/où l'environnement selon les élements composants le produit.</t>
  </si>
  <si>
    <t>Absence de suivi de traitement des déchets dangereux &amp; des déchets POP (Polluants Organiques Persistants).</t>
  </si>
  <si>
    <t>Risque Chimique</t>
  </si>
  <si>
    <t>- Généralisation de la mise à disposition de « kit amiante », conformément à la circulaire DAM du 27 mars 2017 (version à jour du 5 juin 2018).
- Analyse de la situation, selon l’appréciation de l’ISN (documents, droit de retrait, rappel systématique à l’armateur des exigences) conformément aux instructions PSC et nationales et à la partie II (version à jour du 5 juin 2018) de la circulaire DAM-RH du 27 mars 2017, 
IV Procédures de prévention du risque amiante spécifiques aux interventions à bord des navires.
- Liste des navires suspects tenues au niveau de chaque CSN.
- Documents traçabilité amiante à renseigner pour les travailleurs potentiellement exposés.</t>
  </si>
  <si>
    <t>- Analyse de la situation, selon l’appréciation de l’ISN (documents, droit de retrait, rappel systématique à l’armateur des exigences) conformément aux instructions PSC et nationales et à la partie II (version à jour du 5 juin 2018) de la circulaire DAM-RH du 27 mars 2017, 
IV Procédures de prévention du risque amiante spécifiques aux interventions à bord des navires.
- Kit amiante disponibles (combinaisons, sac, masques jetables FFP3) CSN Paca Corse et Occitanie.
- Pour les locaux demande des DTA, repérages et suivi des recommandations du diagnostiqueur (surveillance de l’état de dégradation des MCA détectés, mesures d’empoussièrement...).
- Réalisation de vestiaires conformes dans certains locaux du CSN (armoires à doubles compartiments, douches).
- Certains sites sont équipés de matériel de lavage des vêtements de travail souillés.</t>
  </si>
  <si>
    <t>- Respect du code de la route, prise en compte des recommandations de la prévention routière sur les temps de repos,
- vérification visuelle du véhicule avant chaque déplacement, 
- préparation des déplacements,
- suivi et entretien régulier des véhicules, contrôle technique,
- utilisation des outils de (télé)communications (internet, visioconférence) permettant d’éviter certains déplacements,
- trajets sur autoroutes privilégiés (cartes de télépéages généralisées),
- utilisation de véhicules adaptés,
- respect de la charte sur l’utilisation des véhicules de service (disponible sur l’intranet),
- covoiturage,
- en cas de panne, accident, crevaison, panne/erreur de carburant, vol/vandalisme, perte de clés/carte démarrage contacter le n° d’assistance inscrit dans les pochettes véhicules.
- Voir aussi le risque 29 lié aux conditions de travail particulières (horaires décalés, astreinte).</t>
  </si>
  <si>
    <t xml:space="preserve">Accès à divers terminaux à risques et/ou navires à risques (chimiquiers), ateliers et chantiers de réparation navale; en exploitation : Inhalation ou contact avec des gaz, produits toxiques, chimiques (solvants, batteries, vapeurs de fuel, vapeurs d’huiles) ou par projection accidentelle.
</t>
  </si>
  <si>
    <t>-  Installation de goulottes au sol pour la protection et le passage de câbles, rangement des câbles bureautiques, revêtements antidérapants.
- Dégagement des voies de circulation.
- Balisage réflexe (signalétique temporaire) des zones à risques.</t>
  </si>
  <si>
    <t>Perte de conscience, brûlure, suffocation, irritation de la peau , des yeux, affection des voies respiratoires, intoxication légère à grave ou mortelle, conséquences à long terme d'une exposition à des produits dangereux (cancer, altération génétique, …)._x000D_</t>
  </si>
  <si>
    <t>Observation</t>
  </si>
  <si>
    <t>Retour d'action</t>
  </si>
  <si>
    <t>Échéance</t>
  </si>
  <si>
    <t>Etat d'avancement</t>
  </si>
  <si>
    <t>Mesures A proposer</t>
  </si>
  <si>
    <t>Priorité finale 2</t>
  </si>
  <si>
    <t>Calcul priorité</t>
  </si>
  <si>
    <t>Moyen de Maitrise</t>
  </si>
  <si>
    <t>Mesure Existante</t>
  </si>
  <si>
    <t>Priorité initiale</t>
  </si>
  <si>
    <t>Gravité</t>
  </si>
  <si>
    <t>Fréquence</t>
  </si>
  <si>
    <t>Responsable</t>
  </si>
  <si>
    <t>Dommage</t>
  </si>
  <si>
    <t>Situation dangereuse</t>
  </si>
  <si>
    <t xml:space="preserve">Risque </t>
  </si>
  <si>
    <t>Numéro risque</t>
  </si>
  <si>
    <t>Site</t>
  </si>
  <si>
    <t>Service</t>
  </si>
  <si>
    <t xml:space="preserve">Unité </t>
  </si>
  <si>
    <t xml:space="preserve">Identification Risque </t>
  </si>
  <si>
    <t xml:space="preserve">Consultations du potentiel radon par communes (ex catégorie 3 : communes du 83, 06, 2B et 2A) </t>
  </si>
  <si>
    <t>* Mise à disposition de 20 détecteurs gaz* (5 Sète, 1 Corse, 6 Martigues, 8 MRS) et de kits d’évacuation EEB 
- Achat d’un banc d’étalonnage de détecteurs gaz : test tous les ans
- Réalisation de vestiaires conformes dans les locaux du CSN PACA Corse (armoires à doubles compartiments, douches).
- Certains sites sont équipés de lave-linge.</t>
  </si>
  <si>
    <t>* Sensibilisation, formation aux consignes de sécurité spécifiques des terminaux à risque (étude faisabilité sur tous les ports de la façade).
* Traçabilité des expositions : intégration des données collectées dans la fiche individuelle de prévention des expositions à certains facteurs de risques (mise à jour annuelle).
*Se renseigner sur le besoin en équipement ATEX notamment les bleus de travail et chaussure
*Réparation des détecteurs défectueux ou rachat
*Mettre à jour la fiche d'équipement (2014)</t>
  </si>
  <si>
    <t xml:space="preserve">*Prise en compte de la difficulté d’accès, éviter de monter chargé (fractionnement des charges).
*Formation et reçyclage aux premiers secours PSC1 à prévoir. </t>
  </si>
  <si>
    <t>* Protections individuelles (casque, gants, chaussures à semelle anti-dérapantes, harnais+longe).
* Utilisation de VHF, téléphone portable.
* Possibilité de suspendre la visite si les conditions d’accès sont trop difficiles conformément aux instructions MOU.
* Lorsque les moyens humains disponibles dans le service le permettent, le contrôle des navires de plus de 500 ou étrangers est effectué par 2 inspecteurs (1/3 des PSC sont réalisés seul)
*Sensibilisation sur ce type d’accident.
*Coordination avec le pilote, prise en compte de la météo, du trafic maritime (vagues de sillage).
*Les chaussures sont aux nromes anti-dérapentes 
*Pour les navires aux mouillages les inspecteurs ont des VFI</t>
  </si>
  <si>
    <t xml:space="preserve">* Généralisation des revêtements antidérapants sur les nez de marches et de pose de signalétique indiquant le danger.
*Anticipation de l’espace d’archivage (y compris archives vivantes).
*Pose systématique de trépied de sécurité (sol glissant) après nettoyage des sols (responsabilité du personnel de nettoyage).
</t>
  </si>
  <si>
    <t>* Equiper les véhicules de lingettes nettoyantes vitres (visibilité, buée).
* PPRR à finaliser, sensibilisation aux risques routiers, stages.
* Identification des agents réalisants le plus de km à l'année</t>
  </si>
  <si>
    <t>Formation des agents (gestes et postures)</t>
  </si>
  <si>
    <t>* Mise à disposition de 20 détecteurs gaz* (5 Sète, 1 Corse, 6 Martigues, 8 MRS) et de kits d’évacuation EEB 
- Achat d’un banc d’étalonnage de détecteurs gaz : test tous les ans</t>
  </si>
  <si>
    <t>*Respect des procédures du bord.
*Pas de déplacements seul à bord. 
* Les contrôles se réalisent seulement au voisinage des installations et équipements électriques.
*habilitation B0-H0</t>
  </si>
  <si>
    <t xml:space="preserve">*Rendre obligatoire l'habilitation électrique (B0, H0 H0V) 
* Poursuivre la dispance des formations PSC1
</t>
  </si>
  <si>
    <t>* Protections individuelles (casque obligatoire, gants, chaussures de sécurité).
*Sensibilisation sur ce type d’accident : ne pas rester dans la zone de manutention.</t>
  </si>
  <si>
    <t>* Port systématique du VFI à flottabilité additionnelle (150 N) en navigation lorsqu’il y a une risque de chute à la mer.
* Respect des procédures bord, rappel avant visite à l’armateur sur les conditions d’accès dues.
* Lorsque les moyens humains disponibles dans le service le permettent, le contrôle des navires de plus de 500 ou étrangers est effectué par 2 inspecteurs. 
* Sensibilisation sur ce type d’accident.</t>
  </si>
  <si>
    <t>*Respect des amplitudes d’horaires et des durées de repos quotidien (Cf.RI relatif à l’aménagement et à la réduction du temps de travail).
*Vérifier le classement des compagnies aériennes sur le site du département mobilité et transports de la CE.
*Vigilance sur le respect des temps de travail (suivi, bilan, analyse).
* Renforcement des équipes pour les visites de mise en service.
* Étude sur la composition des équipes à l’étranger.</t>
  </si>
  <si>
    <t>CSN Occitanie</t>
  </si>
  <si>
    <t xml:space="preserve"> Sète-CSN Occitanie</t>
  </si>
  <si>
    <t>PHILIPPE MARTINEZ</t>
  </si>
  <si>
    <t xml:space="preserve">Consultations du potentiel radon par communes (ex catégorie 3 : communes du 83, 06, 2B et 2A) sur le site de l’IRSN ou l’arrêté du 27 juin 2018 portant délimitation des zones à potentiel radon du territoire français. </t>
  </si>
  <si>
    <t>Sète et PLN pas concerné</t>
  </si>
  <si>
    <t>1. Réalisation d’un repérage des Matériaux et produits pouvant contenir de l’amiante (MPCA) du site.
2. Communication du repérage au CP (voir document attaché) pour actualiser le tableau de synthèse mis en ligne sur l’intranet (dont le but est de : faciliter la consultation de l’historique par site et permettre l’identification des matériaux/produits contenants de l’amiante et donc éviter toute intervention malencontreuse dessus ou à proximité).
3. Consigne reçue: Les interventions et/ou retraits de produits ou matériaux contenants de l’amiante (friable et non friable) sont non autorisés en régie (code du travail SS3 et SS4).
NB : L’évaluation de l’état de dégradation par un opérateur certifié des matériaux/produits amiantés identifiés est recommandée tous les 36 mois..</t>
  </si>
  <si>
    <t xml:space="preserve">1. Mise en œuvre et suivi des conclusions du diagnostiqueur au niveau de la zone des combles (obligation réglementaire du propriétaire), afin de réaliser un repérage des Matériaux et produits pouvant contenir de l’amiante sur l’ensemble des locaux du site qui ne sont pas totalement diagnostiqués à ce jour (puis communication du repérage au CP pour actualiser le tableau de synthèse mis en ligne sur l’intranet).
2. En cas de présence d’amiante repérée : un contrôle périodique d’évaluation de l’état de dégradation des matériaux/produits amiantés identifiés est à réaliser (par un opérateur certifié recommandé tous les 36 mois).
3. En cas de présence d’amiante repérée : Identifier (par une signalétique à poser) les MCA afin d’éviter toute intervention par inadvertance.
4. Communication du DTA du site à tout prestataire/intervenant (prévu par le plan de prévention en cas de co-activité).
5. Réaliser un repérage avant travaux (obligatoire cf. arrêté du 16 juillet 2019) afin de rechercher la présence d’amiante dans le bâti, préalablement à toute opération comportant des risques d’exposition des travailleurs.
6. Renseigner les derniers éléments dans la fiche sécurité du DUERP du site et les communiquer au CP.
7. Documents individuels de traçabilité amiante à renseigner pour les travailleurs potentiellement exposés.
</t>
  </si>
  <si>
    <t>- Vérification périodique des dispositifs de lutte contre les débuts d’incendies dans les locaux (attente de retour).
- Plan d’évacuation, signalétique installés.</t>
  </si>
  <si>
    <t xml:space="preserve">Aucune, vérifier si le site est équipé de systèmes à automatisme destinés à l'usage des agents DIRM (barrières, portes, portails automatiques..) faisant l’objet de contrôles et de maintenance périodiques . </t>
  </si>
  <si>
    <t>- Vérification visuelle de l’état du matériel électrique (ex :prolongateurs) avant usage (par tout agent), signalement de l’état du matériel endommagé à la hiérarchie et remplacement.
- Acquisition de matériel conforme à la norme en vigueur, respect de la puissance maximale indiquée sur les prolongateurs et multiprises.
- Maintiens des portes des tableaux et coffrets électriques en position fermée.
- Vérification périodique des installations électriques et mise en conformité des installations (attente retour).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</si>
</sst>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family val="2"/>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1" fillId="0" borderId="0"/>
  </cellStyleXfs>
  <cellXfs count="30">
    <xf numFmtId="0" fontId="0" fillId="0" borderId="0" xfId="0"/>
    <xf numFmtId="0" fontId="0" fillId="0" borderId="0" xfId="0" applyAlignment="1">
      <alignment wrapText="1"/>
    </xf>
    <xf numFmtId="0" fontId="0" fillId="0" borderId="0" xfId="0" applyAlignment="1">
      <alignment horizontal="right" wrapText="1"/>
    </xf>
    <xf numFmtId="0" fontId="0" fillId="0" borderId="0" xfId="0" applyAlignment="1">
      <alignment horizontal="center" vertical="center" wrapText="1"/>
    </xf>
    <xf numFmtId="0" fontId="0" fillId="0" borderId="0" xfId="1" applyFont="1" applyAlignment="1">
      <alignment horizontal="left" vertical="center" wrapText="1"/>
    </xf>
    <xf numFmtId="0" fontId="0" fillId="0" borderId="0" xfId="1" applyFont="1" applyAlignment="1">
      <alignment horizontal="right" wrapText="1"/>
    </xf>
    <xf numFmtId="0" fontId="0" fillId="0" borderId="0" xfId="1" applyFont="1" applyAlignment="1">
      <alignment wrapText="1"/>
    </xf>
    <xf numFmtId="3" fontId="0" fillId="0" borderId="0" xfId="1" applyNumberFormat="1" applyFont="1" applyAlignment="1">
      <alignment horizontal="center" vertical="center" wrapText="1"/>
    </xf>
    <xf numFmtId="3" fontId="0" fillId="0" borderId="0" xfId="1" applyNumberFormat="1" applyFont="1" applyAlignment="1">
      <alignment horizontal="right" vertical="center" wrapText="1"/>
    </xf>
    <xf numFmtId="14" fontId="0" fillId="0" borderId="0" xfId="1" applyNumberFormat="1" applyFont="1" applyAlignment="1">
      <alignment horizontal="right" vertical="center"/>
    </xf>
    <xf numFmtId="14" fontId="0" fillId="0" borderId="0" xfId="1" applyNumberFormat="1" applyFont="1" applyAlignment="1">
      <alignment horizontal="right" vertical="center" wrapText="1"/>
    </xf>
    <xf numFmtId="0" fontId="0" fillId="0" borderId="0" xfId="1" applyFont="1" applyAlignment="1">
      <alignment horizontal="left" vertical="center"/>
    </xf>
    <xf numFmtId="3" fontId="0" fillId="2" borderId="3" xfId="1" applyNumberFormat="1" applyFont="1" applyFill="1" applyBorder="1" applyAlignment="1">
      <alignment horizontal="right" vertical="center" wrapText="1"/>
    </xf>
    <xf numFmtId="0" fontId="0" fillId="2" borderId="1" xfId="1" applyFont="1" applyFill="1" applyBorder="1" applyAlignment="1">
      <alignment horizontal="left" vertical="center" wrapText="1"/>
    </xf>
    <xf numFmtId="3" fontId="0" fillId="2" borderId="1" xfId="1" applyNumberFormat="1" applyFont="1" applyFill="1" applyBorder="1" applyAlignment="1">
      <alignment horizontal="center" vertical="center" wrapText="1"/>
    </xf>
    <xf numFmtId="0" fontId="0" fillId="2" borderId="1" xfId="0" applyFill="1" applyBorder="1" applyAlignment="1">
      <alignment wrapText="1"/>
    </xf>
    <xf numFmtId="0" fontId="0" fillId="2" borderId="1" xfId="0" applyFill="1" applyBorder="1" applyAlignment="1">
      <alignment horizontal="right" wrapText="1"/>
    </xf>
    <xf numFmtId="0" fontId="0" fillId="2" borderId="1" xfId="1" applyFont="1" applyFill="1" applyBorder="1" applyAlignment="1">
      <alignment horizontal="right" wrapText="1"/>
    </xf>
    <xf numFmtId="14" fontId="0" fillId="2" borderId="1" xfId="0" applyNumberFormat="1" applyFill="1" applyBorder="1" applyAlignment="1">
      <alignment wrapText="1"/>
    </xf>
    <xf numFmtId="14" fontId="0" fillId="2" borderId="1" xfId="1" applyNumberFormat="1" applyFont="1" applyFill="1" applyBorder="1" applyAlignment="1">
      <alignment horizontal="right" vertical="center"/>
    </xf>
    <xf numFmtId="0" fontId="0" fillId="2" borderId="2" xfId="0" applyFill="1" applyBorder="1" applyAlignment="1">
      <alignment wrapText="1"/>
    </xf>
    <xf numFmtId="3" fontId="0" fillId="0" borderId="3" xfId="1" applyNumberFormat="1" applyFont="1" applyBorder="1" applyAlignment="1">
      <alignment horizontal="right" vertical="center" wrapText="1"/>
    </xf>
    <xf numFmtId="0" fontId="0" fillId="0" borderId="1" xfId="1" applyFont="1" applyBorder="1" applyAlignment="1">
      <alignment horizontal="left" vertical="center" wrapText="1"/>
    </xf>
    <xf numFmtId="3" fontId="0" fillId="0" borderId="1" xfId="1" applyNumberFormat="1" applyFont="1" applyBorder="1" applyAlignment="1">
      <alignment horizontal="center" vertical="center" wrapText="1"/>
    </xf>
    <xf numFmtId="0" fontId="0" fillId="0" borderId="1" xfId="0" applyBorder="1" applyAlignment="1">
      <alignment wrapText="1"/>
    </xf>
    <xf numFmtId="0" fontId="0" fillId="0" borderId="1" xfId="1" applyFont="1" applyBorder="1" applyAlignment="1">
      <alignment horizontal="right" wrapText="1"/>
    </xf>
    <xf numFmtId="14" fontId="0" fillId="0" borderId="1" xfId="1" applyNumberFormat="1" applyFont="1" applyBorder="1" applyAlignment="1">
      <alignment horizontal="right" vertical="center" wrapText="1"/>
    </xf>
    <xf numFmtId="0" fontId="0" fillId="0" borderId="2" xfId="0" applyBorder="1" applyAlignment="1">
      <alignment wrapText="1"/>
    </xf>
    <xf numFmtId="14" fontId="0" fillId="2" borderId="1" xfId="1" applyNumberFormat="1" applyFont="1" applyFill="1" applyBorder="1" applyAlignment="1">
      <alignment horizontal="right" vertical="center" wrapText="1"/>
    </xf>
    <xf numFmtId="0" fontId="0" fillId="0" borderId="1" xfId="0" applyBorder="1" applyAlignment="1">
      <alignment horizontal="right" wrapText="1"/>
    </xf>
  </cellXfs>
  <cellStyles count="2">
    <cellStyle name="NiveauLigne_4" xfId="1" builtinId="1" iLevel="3"/>
    <cellStyle name="Normal" xfId="0" builtinId="0"/>
  </cellStyles>
  <dxfs count="55">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1" indent="0" justifyLastLine="0" shrinkToFit="0" readingOrder="0"/>
    </dxf>
    <dxf>
      <alignment horizontal="right"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left" vertical="center" textRotation="0" wrapText="1" indent="0" justifyLastLine="0" shrinkToFit="0" readingOrder="0"/>
    </dxf>
    <dxf>
      <font>
        <sz val="11"/>
        <color theme="1"/>
        <name val="Calibri"/>
        <family val="2"/>
        <scheme val="minor"/>
      </font>
      <alignment horizontal="left" vertical="center" textRotation="0" wrapText="1" indent="0" justifyLastLine="0" shrinkToFit="0" readingOrder="0"/>
    </dxf>
    <dxf>
      <font>
        <sz val="11"/>
        <color theme="1"/>
        <name val="Calibri"/>
        <family val="2"/>
        <scheme val="minor"/>
      </font>
      <alignment horizontal="left" vertical="center" textRotation="0" wrapText="1" indent="0" justifyLastLine="0" shrinkToFit="0" readingOrder="0"/>
    </dxf>
    <dxf>
      <font>
        <sz val="11"/>
        <color theme="1"/>
        <name val="Calibri"/>
        <family val="2"/>
        <scheme val="minor"/>
      </font>
      <numFmt numFmtId="3" formatCode="#,##0"/>
      <alignment horizontal="center" vertical="center" textRotation="0" wrapText="1" indent="0" justifyLastLine="0" shrinkToFit="0" readingOrder="0"/>
    </dxf>
    <dxf>
      <font>
        <sz val="11"/>
        <color theme="1"/>
        <name val="Calibri"/>
        <family val="2"/>
        <scheme val="minor"/>
      </font>
      <alignment horizontal="left" vertical="center" textRotation="0" wrapText="1" indent="0" justifyLastLine="0" shrinkToFit="0" readingOrder="0"/>
    </dxf>
    <dxf>
      <font>
        <sz val="11"/>
        <color theme="1"/>
        <name val="Calibri"/>
        <family val="2"/>
        <scheme val="minor"/>
      </font>
      <alignment horizontal="left" vertical="center" textRotation="0" wrapText="1" indent="0" justifyLastLine="0" shrinkToFit="0" readingOrder="0"/>
    </dxf>
    <dxf>
      <font>
        <sz val="11"/>
        <color theme="1"/>
        <name val="Calibri"/>
        <family val="2"/>
        <scheme val="minor"/>
      </font>
      <alignment horizontal="left" vertical="center" textRotation="0" wrapText="1" indent="0" justifyLastLine="0" shrinkToFit="0" readingOrder="0"/>
    </dxf>
    <dxf>
      <font>
        <sz val="11"/>
        <color theme="1"/>
        <name val="Calibri"/>
        <family val="2"/>
        <scheme val="minor"/>
      </font>
      <numFmt numFmtId="3" formatCode="#,##0"/>
      <alignment horizontal="right" vertical="center"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F9E736-C49F-4537-9C12-838E4246555C}" name="Tableau14" displayName="Tableau14" ref="A2:U64" totalsRowShown="0" headerRowDxfId="38" dataDxfId="37">
  <autoFilter ref="A2:U64" xr:uid="{0A6F03C2-ABBA-4285-9789-1AC2E76DE44D}"/>
  <sortState xmlns:xlrd2="http://schemas.microsoft.com/office/spreadsheetml/2017/richdata2" ref="A3:U64">
    <sortCondition descending="1" ref="O2:O64"/>
  </sortState>
  <tableColumns count="21">
    <tableColumn id="1" xr3:uid="{5BE28431-FBFC-404C-BBB9-191415393942}" name="Identification Risque " dataDxfId="36" dataCellStyle="NiveauLigne_4"/>
    <tableColumn id="2" xr3:uid="{4956327E-5C00-4990-9726-4E2158B3C19E}" name="Unité " dataDxfId="35" dataCellStyle="NiveauLigne_4"/>
    <tableColumn id="3" xr3:uid="{7356F68C-CEEF-4705-9867-94B41181B764}" name="Service" dataDxfId="34" dataCellStyle="NiveauLigne_4"/>
    <tableColumn id="4" xr3:uid="{4B58E6DF-17F2-48FB-9E5E-F7373C938487}" name="Site" dataDxfId="33" dataCellStyle="NiveauLigne_4"/>
    <tableColumn id="5" xr3:uid="{3712BB62-0F96-4DA4-8D05-D15F4005D10A}" name="Numéro risque" dataDxfId="32" dataCellStyle="NiveauLigne_4"/>
    <tableColumn id="6" xr3:uid="{4F5E26E0-778D-42E5-A703-852409BB3124}" name="Risque " dataDxfId="31" dataCellStyle="NiveauLigne_4"/>
    <tableColumn id="7" xr3:uid="{17BFC34C-197F-4092-A0AC-1A7592A99B4D}" name="Situation dangereuse" dataDxfId="30" dataCellStyle="NiveauLigne_4"/>
    <tableColumn id="8" xr3:uid="{EF94779D-0528-4540-A6D6-2C0CEA744EB8}" name="Dommage" dataDxfId="29"/>
    <tableColumn id="9" xr3:uid="{90EA2673-94A9-460D-9235-DF9A9AC694B7}" name="Responsable" dataDxfId="28"/>
    <tableColumn id="10" xr3:uid="{3D274F27-F61A-4216-86B3-9C3DFFF23DCA}" name="Fréquence" dataDxfId="27"/>
    <tableColumn id="11" xr3:uid="{4044A2E5-462F-4329-B583-15D05D28912E}" name="Gravité" dataDxfId="26"/>
    <tableColumn id="12" xr3:uid="{EE5FA9C6-B381-4265-8A81-698D31F10FBB}" name="Priorité initiale" dataDxfId="25">
      <calculatedColumnFormula>Tableau14[[#This Row],[Fréquence]]*Tableau14[[#This Row],[Gravité]]</calculatedColumnFormula>
    </tableColumn>
    <tableColumn id="13" xr3:uid="{C049E09D-A4CF-4AC5-9BF1-47405ED57569}" name="Mesure Existante" dataDxfId="24"/>
    <tableColumn id="20" xr3:uid="{0E6FBE00-2FDC-42F9-A397-08B0334350A7}" name="Moyen de Maitrise" dataDxfId="23"/>
    <tableColumn id="15" xr3:uid="{C4750F8C-75E6-49FD-B8C3-41598F0BEBA4}" name="Calcul priorité" dataDxfId="22">
      <calculatedColumnFormula>Tableau14[[#This Row],[Moyen de Maitrise]]*Tableau14[[#This Row],[Priorité initiale]]</calculatedColumnFormula>
    </tableColumn>
    <tableColumn id="18" xr3:uid="{633D1200-4886-46D1-B222-63A2B4DE5238}" name="Priorité finale 2" dataDxfId="21" dataCellStyle="NiveauLigne_4"/>
    <tableColumn id="22" xr3:uid="{97460792-CC22-4F98-84F2-FC0A27E9EB70}" name="Mesures A proposer" dataDxfId="20" dataCellStyle="NiveauLigne_4"/>
    <tableColumn id="16" xr3:uid="{9B897C91-97F9-4555-88F8-F06F771C357E}" name="Etat d'avancement" dataDxfId="19"/>
    <tableColumn id="17" xr3:uid="{85125526-DF95-4B54-A2E5-01AE66B70D11}" name="Échéance" dataDxfId="18"/>
    <tableColumn id="19" xr3:uid="{F56F8968-76CE-47ED-9547-8AA130D8D0B0}" name="Retour d'action" dataDxfId="17"/>
    <tableColumn id="21" xr3:uid="{D3B12309-2066-498F-B560-1869153EAAD1}" name="Observation" dataDxfId="16"/>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D5204-DEF0-4F18-9C2B-D5179944C47A}">
  <dimension ref="A1"/>
  <sheetViews>
    <sheetView workbookViewId="0"/>
  </sheetViews>
  <sheetFormatPr baseColWidth="10"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4956A-583E-492F-AD84-140530F2D1C1}">
  <dimension ref="A2:V69"/>
  <sheetViews>
    <sheetView tabSelected="1" zoomScale="70" zoomScaleNormal="70" workbookViewId="0">
      <pane ySplit="2" topLeftCell="A55" activePane="bottomLeft" state="frozen"/>
      <selection pane="bottomLeft" activeCell="A65" sqref="A65:V69"/>
    </sheetView>
  </sheetViews>
  <sheetFormatPr baseColWidth="10" defaultRowHeight="15" x14ac:dyDescent="0.25"/>
  <cols>
    <col min="1" max="1" width="16.7109375" style="1" customWidth="1"/>
    <col min="2" max="2" width="20.85546875" style="1" customWidth="1"/>
    <col min="3" max="3" width="43" style="1" customWidth="1"/>
    <col min="4" max="4" width="63.7109375" style="1" customWidth="1"/>
    <col min="5" max="5" width="18.140625" style="3" customWidth="1"/>
    <col min="6" max="6" width="27.7109375" style="1" customWidth="1"/>
    <col min="7" max="7" width="75.85546875" style="1" customWidth="1"/>
    <col min="8" max="8" width="47.5703125" style="1" customWidth="1"/>
    <col min="9" max="9" width="29.140625" style="1" customWidth="1"/>
    <col min="10" max="10" width="12.5703125" style="1" customWidth="1"/>
    <col min="11" max="11" width="11.42578125" style="1"/>
    <col min="12" max="12" width="16.5703125" style="1" customWidth="1"/>
    <col min="13" max="13" width="74.28515625" style="1" customWidth="1"/>
    <col min="14" max="14" width="24.85546875" style="1" customWidth="1"/>
    <col min="15" max="16" width="15.85546875" style="2" customWidth="1"/>
    <col min="17" max="17" width="78.28515625" style="2" customWidth="1"/>
    <col min="18" max="18" width="19.5703125" style="1" customWidth="1"/>
    <col min="19" max="19" width="15.85546875" style="1" customWidth="1"/>
    <col min="20" max="20" width="78.7109375" style="1" customWidth="1"/>
    <col min="21" max="21" width="41.140625" style="1" customWidth="1"/>
    <col min="22" max="16384" width="11.42578125" style="1"/>
  </cols>
  <sheetData>
    <row r="2" spans="1:21" s="3" customFormat="1" ht="30" x14ac:dyDescent="0.25">
      <c r="A2" s="3" t="s">
        <v>256</v>
      </c>
      <c r="B2" s="3" t="s">
        <v>255</v>
      </c>
      <c r="C2" s="3" t="s">
        <v>254</v>
      </c>
      <c r="D2" s="3" t="s">
        <v>253</v>
      </c>
      <c r="E2" s="3" t="s">
        <v>252</v>
      </c>
      <c r="F2" s="3" t="s">
        <v>251</v>
      </c>
      <c r="G2" s="3" t="s">
        <v>250</v>
      </c>
      <c r="H2" s="3" t="s">
        <v>249</v>
      </c>
      <c r="I2" s="3" t="s">
        <v>248</v>
      </c>
      <c r="J2" s="3" t="s">
        <v>247</v>
      </c>
      <c r="K2" s="3" t="s">
        <v>246</v>
      </c>
      <c r="L2" s="3" t="s">
        <v>245</v>
      </c>
      <c r="M2" s="3" t="s">
        <v>244</v>
      </c>
      <c r="N2" s="3" t="s">
        <v>243</v>
      </c>
      <c r="O2" s="2" t="s">
        <v>242</v>
      </c>
      <c r="P2" s="2" t="s">
        <v>241</v>
      </c>
      <c r="Q2" s="3" t="s">
        <v>240</v>
      </c>
      <c r="R2" s="3" t="s">
        <v>239</v>
      </c>
      <c r="S2" s="3" t="s">
        <v>238</v>
      </c>
      <c r="T2" s="3" t="s">
        <v>237</v>
      </c>
      <c r="U2" s="3" t="s">
        <v>236</v>
      </c>
    </row>
    <row r="3" spans="1:21" ht="255" x14ac:dyDescent="0.25">
      <c r="A3" s="8">
        <v>438</v>
      </c>
      <c r="B3" s="4" t="s">
        <v>17</v>
      </c>
      <c r="C3" s="4" t="s">
        <v>16</v>
      </c>
      <c r="D3" s="4" t="s">
        <v>15</v>
      </c>
      <c r="E3" s="7">
        <v>38</v>
      </c>
      <c r="F3" s="4" t="s">
        <v>69</v>
      </c>
      <c r="G3" s="4" t="s">
        <v>68</v>
      </c>
      <c r="H3" s="4" t="s">
        <v>67</v>
      </c>
      <c r="I3" s="6" t="s">
        <v>11</v>
      </c>
      <c r="J3" s="1">
        <v>3</v>
      </c>
      <c r="K3" s="1">
        <v>4</v>
      </c>
      <c r="L3" s="1">
        <f>Tableau14[[#This Row],[Fréquence]]*Tableau14[[#This Row],[Gravité]]</f>
        <v>12</v>
      </c>
      <c r="M3" s="4" t="s">
        <v>232</v>
      </c>
      <c r="N3" s="1">
        <v>0.75</v>
      </c>
      <c r="O3" s="2">
        <f>Tableau14[[#This Row],[Moyen de Maitrise]]*Tableau14[[#This Row],[Priorité initiale]]</f>
        <v>9</v>
      </c>
      <c r="P3" s="5" t="s">
        <v>64</v>
      </c>
      <c r="Q3" s="4" t="s">
        <v>263</v>
      </c>
    </row>
    <row r="4" spans="1:21" ht="195" x14ac:dyDescent="0.25">
      <c r="A4" s="8">
        <v>296</v>
      </c>
      <c r="B4" s="4" t="s">
        <v>17</v>
      </c>
      <c r="C4" s="4" t="s">
        <v>16</v>
      </c>
      <c r="D4" s="4" t="s">
        <v>15</v>
      </c>
      <c r="E4" s="7">
        <v>22</v>
      </c>
      <c r="F4" s="4" t="s">
        <v>177</v>
      </c>
      <c r="G4" s="4" t="s">
        <v>176</v>
      </c>
      <c r="H4" s="4" t="s">
        <v>100</v>
      </c>
      <c r="I4" s="6" t="s">
        <v>11</v>
      </c>
      <c r="J4" s="1">
        <v>3</v>
      </c>
      <c r="K4" s="1">
        <v>3</v>
      </c>
      <c r="L4" s="1">
        <f>Tableau14[[#This Row],[Fréquence]]*Tableau14[[#This Row],[Gravité]]</f>
        <v>9</v>
      </c>
      <c r="M4" s="4" t="s">
        <v>261</v>
      </c>
      <c r="N4" s="1">
        <v>0.75</v>
      </c>
      <c r="O4" s="2">
        <f>Tableau14[[#This Row],[Moyen de Maitrise]]*Tableau14[[#This Row],[Priorité initiale]]</f>
        <v>6.75</v>
      </c>
      <c r="P4" s="5" t="s">
        <v>1</v>
      </c>
      <c r="Q4" s="4" t="s">
        <v>260</v>
      </c>
      <c r="S4" s="9"/>
    </row>
    <row r="5" spans="1:21" ht="75" x14ac:dyDescent="0.25">
      <c r="A5" s="8">
        <v>343</v>
      </c>
      <c r="B5" s="4" t="s">
        <v>17</v>
      </c>
      <c r="C5" s="4" t="s">
        <v>16</v>
      </c>
      <c r="D5" s="4" t="s">
        <v>15</v>
      </c>
      <c r="E5" s="7">
        <v>26</v>
      </c>
      <c r="F5" s="4" t="s">
        <v>93</v>
      </c>
      <c r="G5" s="4" t="s">
        <v>160</v>
      </c>
      <c r="H5" s="4" t="s">
        <v>163</v>
      </c>
      <c r="I5" s="6" t="s">
        <v>11</v>
      </c>
      <c r="J5" s="1">
        <v>3</v>
      </c>
      <c r="K5" s="1">
        <v>3</v>
      </c>
      <c r="L5" s="1">
        <f>Tableau14[[#This Row],[Fréquence]]*Tableau14[[#This Row],[Gravité]]</f>
        <v>9</v>
      </c>
      <c r="M5" s="4" t="s">
        <v>162</v>
      </c>
      <c r="N5" s="1">
        <v>0.75</v>
      </c>
      <c r="O5" s="2">
        <f>Tableau14[[#This Row],[Moyen de Maitrise]]*Tableau14[[#This Row],[Priorité initiale]]</f>
        <v>6.75</v>
      </c>
      <c r="P5" s="5" t="s">
        <v>1</v>
      </c>
      <c r="Q5" s="4" t="s">
        <v>161</v>
      </c>
      <c r="S5" s="9"/>
    </row>
    <row r="6" spans="1:21" ht="135" x14ac:dyDescent="0.25">
      <c r="A6" s="8">
        <v>64</v>
      </c>
      <c r="B6" s="4" t="s">
        <v>17</v>
      </c>
      <c r="C6" s="4" t="s">
        <v>16</v>
      </c>
      <c r="D6" s="4" t="s">
        <v>15</v>
      </c>
      <c r="E6" s="7">
        <v>3</v>
      </c>
      <c r="F6" s="4" t="s">
        <v>229</v>
      </c>
      <c r="G6" s="4" t="s">
        <v>233</v>
      </c>
      <c r="H6" s="4" t="s">
        <v>235</v>
      </c>
      <c r="I6" s="4" t="s">
        <v>11</v>
      </c>
      <c r="J6" s="1">
        <v>2</v>
      </c>
      <c r="K6" s="1">
        <v>4</v>
      </c>
      <c r="L6" s="1">
        <f>Tableau14[[#This Row],[Fréquence]]*Tableau14[[#This Row],[Gravité]]</f>
        <v>8</v>
      </c>
      <c r="M6" s="4" t="s">
        <v>258</v>
      </c>
      <c r="N6" s="1">
        <v>0.75</v>
      </c>
      <c r="O6" s="2">
        <f>Tableau14[[#This Row],[Moyen de Maitrise]]*Tableau14[[#This Row],[Priorité initiale]]</f>
        <v>6</v>
      </c>
      <c r="P6" s="5" t="s">
        <v>1</v>
      </c>
      <c r="Q6" s="4" t="s">
        <v>259</v>
      </c>
      <c r="S6" s="10"/>
    </row>
    <row r="7" spans="1:21" ht="45" x14ac:dyDescent="0.25">
      <c r="A7" s="8">
        <v>272</v>
      </c>
      <c r="B7" s="4" t="s">
        <v>17</v>
      </c>
      <c r="C7" s="4" t="s">
        <v>16</v>
      </c>
      <c r="D7" s="4" t="s">
        <v>15</v>
      </c>
      <c r="E7" s="7">
        <v>20</v>
      </c>
      <c r="F7" s="4" t="s">
        <v>186</v>
      </c>
      <c r="G7" s="4" t="s">
        <v>185</v>
      </c>
      <c r="H7" s="4" t="s">
        <v>192</v>
      </c>
      <c r="I7" s="4" t="s">
        <v>11</v>
      </c>
      <c r="J7" s="1">
        <v>3</v>
      </c>
      <c r="K7" s="1">
        <v>4</v>
      </c>
      <c r="L7" s="1">
        <f>Tableau14[[#This Row],[Fréquence]]*Tableau14[[#This Row],[Gravité]]</f>
        <v>12</v>
      </c>
      <c r="M7" s="4" t="s">
        <v>265</v>
      </c>
      <c r="N7" s="1">
        <v>0.5</v>
      </c>
      <c r="O7" s="2">
        <f>Tableau14[[#This Row],[Moyen de Maitrise]]*Tableau14[[#This Row],[Priorité initiale]]</f>
        <v>6</v>
      </c>
      <c r="P7" s="5" t="s">
        <v>1</v>
      </c>
      <c r="Q7" s="4"/>
    </row>
    <row r="8" spans="1:21" ht="60" x14ac:dyDescent="0.25">
      <c r="A8" s="8">
        <v>422</v>
      </c>
      <c r="B8" s="4" t="s">
        <v>17</v>
      </c>
      <c r="C8" s="4" t="s">
        <v>16</v>
      </c>
      <c r="D8" s="4" t="s">
        <v>15</v>
      </c>
      <c r="E8" s="7">
        <v>36</v>
      </c>
      <c r="F8" s="4" t="s">
        <v>42</v>
      </c>
      <c r="G8" s="4" t="s">
        <v>76</v>
      </c>
      <c r="H8" s="4" t="s">
        <v>75</v>
      </c>
      <c r="I8" s="6" t="s">
        <v>11</v>
      </c>
      <c r="J8" s="1">
        <v>2</v>
      </c>
      <c r="K8" s="1">
        <v>4</v>
      </c>
      <c r="L8" s="1">
        <f>Tableau14[[#This Row],[Fréquence]]*Tableau14[[#This Row],[Gravité]]</f>
        <v>8</v>
      </c>
      <c r="M8" s="4" t="s">
        <v>169</v>
      </c>
      <c r="N8" s="1">
        <v>0.75</v>
      </c>
      <c r="O8" s="2">
        <f>Tableau14[[#This Row],[Moyen de Maitrise]]*Tableau14[[#This Row],[Priorité initiale]]</f>
        <v>6</v>
      </c>
      <c r="P8" s="5" t="s">
        <v>1</v>
      </c>
      <c r="Q8" s="4" t="s">
        <v>168</v>
      </c>
    </row>
    <row r="9" spans="1:21" ht="90" x14ac:dyDescent="0.25">
      <c r="A9" s="8">
        <v>372</v>
      </c>
      <c r="B9" s="4" t="s">
        <v>17</v>
      </c>
      <c r="C9" s="4" t="s">
        <v>16</v>
      </c>
      <c r="D9" s="4" t="s">
        <v>47</v>
      </c>
      <c r="E9" s="7">
        <v>30</v>
      </c>
      <c r="F9" s="4" t="s">
        <v>104</v>
      </c>
      <c r="G9" s="4" t="s">
        <v>103</v>
      </c>
      <c r="H9" s="4" t="s">
        <v>100</v>
      </c>
      <c r="I9" s="6" t="s">
        <v>11</v>
      </c>
      <c r="J9" s="1">
        <v>3</v>
      </c>
      <c r="K9" s="1">
        <v>3</v>
      </c>
      <c r="L9" s="1">
        <f>Tableau14[[#This Row],[Fréquence]]*Tableau14[[#This Row],[Gravité]]</f>
        <v>9</v>
      </c>
      <c r="M9" s="4" t="s">
        <v>234</v>
      </c>
      <c r="N9" s="1">
        <v>0.5</v>
      </c>
      <c r="O9" s="2">
        <f>Tableau14[[#This Row],[Moyen de Maitrise]]*Tableau14[[#This Row],[Priorité initiale]]</f>
        <v>4.5</v>
      </c>
      <c r="P9" s="5" t="s">
        <v>1</v>
      </c>
      <c r="Q9" s="4" t="s">
        <v>262</v>
      </c>
      <c r="S9" s="9"/>
    </row>
    <row r="10" spans="1:21" ht="45" x14ac:dyDescent="0.25">
      <c r="A10" s="8">
        <v>217</v>
      </c>
      <c r="B10" s="4" t="s">
        <v>17</v>
      </c>
      <c r="C10" s="4" t="s">
        <v>16</v>
      </c>
      <c r="D10" s="4" t="s">
        <v>15</v>
      </c>
      <c r="E10" s="7">
        <v>15</v>
      </c>
      <c r="F10" s="4" t="s">
        <v>199</v>
      </c>
      <c r="G10" s="4" t="s">
        <v>198</v>
      </c>
      <c r="H10" s="4" t="s">
        <v>197</v>
      </c>
      <c r="I10" s="4" t="s">
        <v>11</v>
      </c>
      <c r="J10" s="1">
        <v>2</v>
      </c>
      <c r="K10" s="1">
        <v>3</v>
      </c>
      <c r="L10" s="1">
        <f>Tableau14[[#This Row],[Fréquence]]*Tableau14[[#This Row],[Gravité]]</f>
        <v>6</v>
      </c>
      <c r="M10" s="4" t="s">
        <v>196</v>
      </c>
      <c r="N10" s="1">
        <v>0.75</v>
      </c>
      <c r="O10" s="2">
        <f>Tableau14[[#This Row],[Moyen de Maitrise]]*Tableau14[[#This Row],[Priorité initiale]]</f>
        <v>4.5</v>
      </c>
      <c r="P10" s="5" t="s">
        <v>1</v>
      </c>
      <c r="Q10" s="4" t="s">
        <v>264</v>
      </c>
    </row>
    <row r="11" spans="1:21" ht="105" x14ac:dyDescent="0.25">
      <c r="A11" s="8">
        <v>364</v>
      </c>
      <c r="B11" s="4" t="s">
        <v>17</v>
      </c>
      <c r="C11" s="4" t="s">
        <v>16</v>
      </c>
      <c r="D11" s="4" t="s">
        <v>15</v>
      </c>
      <c r="E11" s="7">
        <v>29</v>
      </c>
      <c r="F11" s="4" t="s">
        <v>80</v>
      </c>
      <c r="G11" s="4" t="s">
        <v>140</v>
      </c>
      <c r="H11" s="4" t="s">
        <v>139</v>
      </c>
      <c r="I11" s="6" t="s">
        <v>11</v>
      </c>
      <c r="J11" s="1">
        <v>2</v>
      </c>
      <c r="K11" s="1">
        <v>3</v>
      </c>
      <c r="L11" s="1">
        <f>Tableau14[[#This Row],[Fréquence]]*Tableau14[[#This Row],[Gravité]]</f>
        <v>6</v>
      </c>
      <c r="M11" s="4" t="s">
        <v>270</v>
      </c>
      <c r="N11" s="1">
        <v>0.75</v>
      </c>
      <c r="O11" s="2">
        <f>Tableau14[[#This Row],[Moyen de Maitrise]]*Tableau14[[#This Row],[Priorité initiale]]</f>
        <v>4.5</v>
      </c>
      <c r="P11" s="5" t="s">
        <v>1</v>
      </c>
      <c r="Q11" s="4"/>
      <c r="S11" s="9"/>
    </row>
    <row r="12" spans="1:21" ht="60" x14ac:dyDescent="0.25">
      <c r="A12" s="8">
        <v>266</v>
      </c>
      <c r="B12" s="4" t="s">
        <v>17</v>
      </c>
      <c r="C12" s="4" t="s">
        <v>16</v>
      </c>
      <c r="D12" s="4" t="s">
        <v>15</v>
      </c>
      <c r="E12" s="7">
        <v>19</v>
      </c>
      <c r="F12" s="4" t="s">
        <v>187</v>
      </c>
      <c r="G12" s="4" t="s">
        <v>188</v>
      </c>
      <c r="H12" s="4" t="s">
        <v>195</v>
      </c>
      <c r="I12" s="4" t="s">
        <v>11</v>
      </c>
      <c r="J12" s="1">
        <v>3</v>
      </c>
      <c r="K12" s="1">
        <v>3</v>
      </c>
      <c r="L12" s="1">
        <f>Tableau14[[#This Row],[Fréquence]]*Tableau14[[#This Row],[Gravité]]</f>
        <v>9</v>
      </c>
      <c r="M12" s="4" t="s">
        <v>194</v>
      </c>
      <c r="N12" s="1">
        <v>0.5</v>
      </c>
      <c r="O12" s="2">
        <f>Tableau14[[#This Row],[Moyen de Maitrise]]*Tableau14[[#This Row],[Priorité initiale]]</f>
        <v>4.5</v>
      </c>
      <c r="P12" s="5" t="s">
        <v>1</v>
      </c>
      <c r="Q12" s="4" t="s">
        <v>193</v>
      </c>
    </row>
    <row r="13" spans="1:21" ht="45" x14ac:dyDescent="0.25">
      <c r="A13" s="8">
        <v>349</v>
      </c>
      <c r="B13" s="4" t="s">
        <v>17</v>
      </c>
      <c r="C13" s="4" t="s">
        <v>16</v>
      </c>
      <c r="D13" s="4" t="s">
        <v>15</v>
      </c>
      <c r="E13" s="7">
        <v>27</v>
      </c>
      <c r="F13" s="4" t="s">
        <v>156</v>
      </c>
      <c r="G13" s="4" t="s">
        <v>155</v>
      </c>
      <c r="H13" s="4" t="s">
        <v>154</v>
      </c>
      <c r="I13" s="6" t="s">
        <v>11</v>
      </c>
      <c r="J13" s="1">
        <v>3</v>
      </c>
      <c r="K13" s="1">
        <v>3</v>
      </c>
      <c r="L13" s="1">
        <f>Tableau14[[#This Row],[Fréquence]]*Tableau14[[#This Row],[Gravité]]</f>
        <v>9</v>
      </c>
      <c r="M13" s="4" t="s">
        <v>184</v>
      </c>
      <c r="N13" s="1">
        <v>0.5</v>
      </c>
      <c r="O13" s="2">
        <f>Tableau14[[#This Row],[Moyen de Maitrise]]*Tableau14[[#This Row],[Priorité initiale]]</f>
        <v>4.5</v>
      </c>
      <c r="P13" s="5" t="s">
        <v>1</v>
      </c>
      <c r="Q13" s="4" t="s">
        <v>183</v>
      </c>
    </row>
    <row r="14" spans="1:21" ht="345" x14ac:dyDescent="0.25">
      <c r="A14" s="8">
        <v>469</v>
      </c>
      <c r="B14" s="4" t="s">
        <v>17</v>
      </c>
      <c r="C14" s="4" t="s">
        <v>16</v>
      </c>
      <c r="D14" s="4" t="s">
        <v>15</v>
      </c>
      <c r="E14" s="7">
        <v>39</v>
      </c>
      <c r="F14" s="4" t="s">
        <v>14</v>
      </c>
      <c r="G14" s="4" t="s">
        <v>37</v>
      </c>
      <c r="H14" s="4" t="s">
        <v>36</v>
      </c>
      <c r="I14" s="6" t="s">
        <v>11</v>
      </c>
      <c r="J14" s="1">
        <v>2</v>
      </c>
      <c r="K14" s="1">
        <v>3</v>
      </c>
      <c r="L14" s="1">
        <f>Tableau14[[#This Row],[Fréquence]]*Tableau14[[#This Row],[Gravité]]</f>
        <v>6</v>
      </c>
      <c r="M14" s="4" t="s">
        <v>166</v>
      </c>
      <c r="N14" s="1">
        <v>0.75</v>
      </c>
      <c r="O14" s="2">
        <f>Tableau14[[#This Row],[Moyen de Maitrise]]*Tableau14[[#This Row],[Priorité initiale]]</f>
        <v>4.5</v>
      </c>
      <c r="P14" s="5" t="s">
        <v>1</v>
      </c>
      <c r="Q14" s="4" t="s">
        <v>65</v>
      </c>
      <c r="S14" s="10"/>
    </row>
    <row r="15" spans="1:21" ht="60" x14ac:dyDescent="0.25">
      <c r="A15" s="8">
        <v>470</v>
      </c>
      <c r="B15" s="4" t="s">
        <v>17</v>
      </c>
      <c r="C15" s="4" t="s">
        <v>16</v>
      </c>
      <c r="D15" s="4" t="s">
        <v>15</v>
      </c>
      <c r="E15" s="7">
        <v>39</v>
      </c>
      <c r="F15" s="4" t="s">
        <v>14</v>
      </c>
      <c r="G15" s="4" t="s">
        <v>13</v>
      </c>
      <c r="H15" s="4" t="s">
        <v>165</v>
      </c>
      <c r="I15" s="6" t="s">
        <v>11</v>
      </c>
      <c r="J15" s="1">
        <v>2</v>
      </c>
      <c r="K15" s="1">
        <v>3</v>
      </c>
      <c r="L15" s="1">
        <f>Tableau14[[#This Row],[Fréquence]]*Tableau14[[#This Row],[Gravité]]</f>
        <v>6</v>
      </c>
      <c r="M15" s="4" t="s">
        <v>164</v>
      </c>
      <c r="N15" s="1">
        <v>0.75</v>
      </c>
      <c r="O15" s="2">
        <f>Tableau14[[#This Row],[Moyen de Maitrise]]*Tableau14[[#This Row],[Priorité initiale]]</f>
        <v>4.5</v>
      </c>
      <c r="P15" s="5" t="s">
        <v>1</v>
      </c>
      <c r="Q15" s="4"/>
      <c r="S15" s="10"/>
    </row>
    <row r="16" spans="1:21" ht="75" x14ac:dyDescent="0.25">
      <c r="A16" s="8">
        <v>398</v>
      </c>
      <c r="B16" s="4" t="s">
        <v>17</v>
      </c>
      <c r="C16" s="4" t="s">
        <v>16</v>
      </c>
      <c r="D16" s="4" t="s">
        <v>47</v>
      </c>
      <c r="E16" s="7">
        <v>33</v>
      </c>
      <c r="F16" s="4" t="s">
        <v>5</v>
      </c>
      <c r="G16" s="4" t="s">
        <v>8</v>
      </c>
      <c r="H16" s="4" t="s">
        <v>7</v>
      </c>
      <c r="I16" s="6" t="s">
        <v>11</v>
      </c>
      <c r="J16" s="1">
        <v>2</v>
      </c>
      <c r="K16" s="1">
        <v>3</v>
      </c>
      <c r="L16" s="1">
        <f>Tableau14[[#This Row],[Fréquence]]*Tableau14[[#This Row],[Gravité]]</f>
        <v>6</v>
      </c>
      <c r="M16" s="4" t="s">
        <v>159</v>
      </c>
      <c r="N16" s="1">
        <v>0.75</v>
      </c>
      <c r="O16" s="2">
        <f>Tableau14[[#This Row],[Moyen de Maitrise]]*Tableau14[[#This Row],[Priorité initiale]]</f>
        <v>4.5</v>
      </c>
      <c r="P16" s="5" t="s">
        <v>1</v>
      </c>
      <c r="Q16" s="4" t="s">
        <v>66</v>
      </c>
    </row>
    <row r="17" spans="1:20" ht="133.5" customHeight="1" x14ac:dyDescent="0.25">
      <c r="A17" s="8">
        <v>316</v>
      </c>
      <c r="B17" s="4" t="s">
        <v>17</v>
      </c>
      <c r="C17" s="4" t="s">
        <v>16</v>
      </c>
      <c r="D17" s="4" t="s">
        <v>15</v>
      </c>
      <c r="E17" s="7">
        <v>24</v>
      </c>
      <c r="F17" s="4" t="s">
        <v>113</v>
      </c>
      <c r="G17" s="4" t="s">
        <v>116</v>
      </c>
      <c r="H17" s="4" t="s">
        <v>115</v>
      </c>
      <c r="I17" s="6" t="s">
        <v>11</v>
      </c>
      <c r="J17" s="1">
        <v>2</v>
      </c>
      <c r="K17" s="1">
        <v>3</v>
      </c>
      <c r="L17" s="1">
        <f>Tableau14[[#This Row],[Fréquence]]*Tableau14[[#This Row],[Gravité]]</f>
        <v>6</v>
      </c>
      <c r="M17" s="4" t="s">
        <v>114</v>
      </c>
      <c r="N17" s="1">
        <v>0.75</v>
      </c>
      <c r="O17" s="2">
        <f>Tableau14[[#This Row],[Moyen de Maitrise]]*Tableau14[[#This Row],[Priorité initiale]]</f>
        <v>4.5</v>
      </c>
      <c r="P17" s="5" t="s">
        <v>6</v>
      </c>
      <c r="Q17" s="4"/>
    </row>
    <row r="18" spans="1:20" ht="105" x14ac:dyDescent="0.25">
      <c r="A18" s="8">
        <v>242</v>
      </c>
      <c r="B18" s="4" t="s">
        <v>17</v>
      </c>
      <c r="C18" s="4" t="s">
        <v>148</v>
      </c>
      <c r="D18" s="4" t="s">
        <v>147</v>
      </c>
      <c r="E18" s="7">
        <v>16</v>
      </c>
      <c r="F18" s="4" t="s">
        <v>125</v>
      </c>
      <c r="G18" s="4" t="s">
        <v>124</v>
      </c>
      <c r="H18" s="4" t="s">
        <v>189</v>
      </c>
      <c r="I18" s="4" t="s">
        <v>143</v>
      </c>
      <c r="J18" s="1">
        <v>1</v>
      </c>
      <c r="K18" s="1">
        <v>4</v>
      </c>
      <c r="L18" s="1">
        <f>Tableau14[[#This Row],[Fréquence]]*Tableau14[[#This Row],[Gravité]]</f>
        <v>4</v>
      </c>
      <c r="M18" s="4" t="s">
        <v>200</v>
      </c>
      <c r="N18" s="1">
        <v>1</v>
      </c>
      <c r="O18" s="2">
        <f>Tableau14[[#This Row],[Moyen de Maitrise]]*Tableau14[[#This Row],[Priorité initiale]]</f>
        <v>4</v>
      </c>
      <c r="P18" s="5" t="s">
        <v>1</v>
      </c>
      <c r="Q18" s="4" t="s">
        <v>257</v>
      </c>
      <c r="S18" s="9">
        <v>45379</v>
      </c>
    </row>
    <row r="19" spans="1:20" ht="120" x14ac:dyDescent="0.25">
      <c r="A19" s="8">
        <v>467</v>
      </c>
      <c r="B19" s="4" t="s">
        <v>17</v>
      </c>
      <c r="C19" s="4" t="s">
        <v>16</v>
      </c>
      <c r="D19" s="4" t="s">
        <v>47</v>
      </c>
      <c r="E19" s="7">
        <v>39</v>
      </c>
      <c r="F19" s="4" t="s">
        <v>14</v>
      </c>
      <c r="G19" s="4" t="s">
        <v>63</v>
      </c>
      <c r="H19" s="4" t="s">
        <v>62</v>
      </c>
      <c r="I19" s="6" t="s">
        <v>11</v>
      </c>
      <c r="J19" s="1">
        <v>1</v>
      </c>
      <c r="K19" s="1">
        <v>4</v>
      </c>
      <c r="L19" s="1">
        <f>Tableau14[[#This Row],[Fréquence]]*Tableau14[[#This Row],[Gravité]]</f>
        <v>4</v>
      </c>
      <c r="M19" s="4"/>
      <c r="N19" s="1">
        <v>1</v>
      </c>
      <c r="O19" s="2">
        <f>Tableau14[[#This Row],[Moyen de Maitrise]]*Tableau14[[#This Row],[Priorité initiale]]</f>
        <v>4</v>
      </c>
      <c r="P19" s="5" t="s">
        <v>1</v>
      </c>
      <c r="Q19" s="4" t="s">
        <v>167</v>
      </c>
      <c r="S19" s="10">
        <v>45354</v>
      </c>
    </row>
    <row r="20" spans="1:20" ht="45" x14ac:dyDescent="0.25">
      <c r="A20" s="8">
        <v>210</v>
      </c>
      <c r="B20" s="4" t="s">
        <v>17</v>
      </c>
      <c r="C20" s="4" t="s">
        <v>16</v>
      </c>
      <c r="D20" s="4" t="s">
        <v>15</v>
      </c>
      <c r="E20" s="7">
        <v>13</v>
      </c>
      <c r="F20" s="4" t="s">
        <v>204</v>
      </c>
      <c r="G20" s="4" t="s">
        <v>203</v>
      </c>
      <c r="H20" s="4" t="s">
        <v>202</v>
      </c>
      <c r="I20" s="4" t="s">
        <v>11</v>
      </c>
      <c r="J20" s="1">
        <v>2</v>
      </c>
      <c r="K20" s="1">
        <v>4</v>
      </c>
      <c r="L20" s="1">
        <f>Tableau14[[#This Row],[Fréquence]]*Tableau14[[#This Row],[Gravité]]</f>
        <v>8</v>
      </c>
      <c r="M20" s="4" t="s">
        <v>201</v>
      </c>
      <c r="N20" s="1">
        <v>0.5</v>
      </c>
      <c r="O20" s="2">
        <f>Tableau14[[#This Row],[Moyen de Maitrise]]*Tableau14[[#This Row],[Priorité initiale]]</f>
        <v>4</v>
      </c>
      <c r="P20" s="5" t="s">
        <v>1</v>
      </c>
      <c r="Q20" s="4" t="s">
        <v>193</v>
      </c>
      <c r="S20" s="9"/>
    </row>
    <row r="21" spans="1:20" ht="45" x14ac:dyDescent="0.25">
      <c r="A21" s="8">
        <v>279</v>
      </c>
      <c r="B21" s="4" t="s">
        <v>17</v>
      </c>
      <c r="C21" s="4" t="s">
        <v>16</v>
      </c>
      <c r="D21" s="4" t="s">
        <v>15</v>
      </c>
      <c r="E21" s="7">
        <v>21</v>
      </c>
      <c r="F21" s="4" t="s">
        <v>182</v>
      </c>
      <c r="G21" s="4" t="s">
        <v>181</v>
      </c>
      <c r="H21" s="4" t="s">
        <v>191</v>
      </c>
      <c r="I21" s="4" t="s">
        <v>11</v>
      </c>
      <c r="J21" s="1">
        <v>2</v>
      </c>
      <c r="K21" s="1">
        <v>4</v>
      </c>
      <c r="L21" s="1">
        <f>Tableau14[[#This Row],[Fréquence]]*Tableau14[[#This Row],[Gravité]]</f>
        <v>8</v>
      </c>
      <c r="M21" s="4" t="s">
        <v>268</v>
      </c>
      <c r="N21" s="1">
        <v>0.5</v>
      </c>
      <c r="O21" s="2">
        <f>Tableau14[[#This Row],[Moyen de Maitrise]]*Tableau14[[#This Row],[Priorité initiale]]</f>
        <v>4</v>
      </c>
      <c r="P21" s="5" t="s">
        <v>1</v>
      </c>
      <c r="Q21" s="4"/>
    </row>
    <row r="22" spans="1:20" ht="105" x14ac:dyDescent="0.25">
      <c r="A22" s="8">
        <v>303</v>
      </c>
      <c r="B22" s="4" t="s">
        <v>17</v>
      </c>
      <c r="C22" s="4" t="s">
        <v>16</v>
      </c>
      <c r="D22" s="4" t="s">
        <v>15</v>
      </c>
      <c r="E22" s="7">
        <v>23</v>
      </c>
      <c r="F22" s="4" t="s">
        <v>175</v>
      </c>
      <c r="G22" s="4" t="s">
        <v>174</v>
      </c>
      <c r="H22" s="4" t="s">
        <v>173</v>
      </c>
      <c r="I22" s="4" t="s">
        <v>11</v>
      </c>
      <c r="J22" s="1">
        <v>1</v>
      </c>
      <c r="K22" s="1">
        <v>4</v>
      </c>
      <c r="L22" s="1">
        <f>Tableau14[[#This Row],[Fréquence]]*Tableau14[[#This Row],[Gravité]]</f>
        <v>4</v>
      </c>
      <c r="M22" s="4" t="s">
        <v>269</v>
      </c>
      <c r="N22" s="1">
        <v>1</v>
      </c>
      <c r="O22" s="2">
        <f>Tableau14[[#This Row],[Moyen de Maitrise]]*Tableau14[[#This Row],[Priorité initiale]]</f>
        <v>4</v>
      </c>
      <c r="P22" s="5" t="s">
        <v>1</v>
      </c>
      <c r="Q22" s="4" t="s">
        <v>190</v>
      </c>
    </row>
    <row r="23" spans="1:20" ht="225" x14ac:dyDescent="0.25">
      <c r="A23" s="8">
        <v>41</v>
      </c>
      <c r="B23" s="4" t="s">
        <v>17</v>
      </c>
      <c r="C23" s="4" t="s">
        <v>16</v>
      </c>
      <c r="D23" s="4" t="s">
        <v>15</v>
      </c>
      <c r="E23" s="7">
        <v>1</v>
      </c>
      <c r="F23" s="4" t="s">
        <v>153</v>
      </c>
      <c r="G23" s="4" t="s">
        <v>152</v>
      </c>
      <c r="H23" s="4" t="s">
        <v>151</v>
      </c>
      <c r="I23" s="4" t="s">
        <v>11</v>
      </c>
      <c r="J23" s="1">
        <v>1</v>
      </c>
      <c r="K23" s="1">
        <v>4</v>
      </c>
      <c r="L23" s="1">
        <f>Tableau14[[#This Row],[Fréquence]]*Tableau14[[#This Row],[Gravité]]</f>
        <v>4</v>
      </c>
      <c r="M23" s="4" t="s">
        <v>231</v>
      </c>
      <c r="N23" s="1">
        <v>1</v>
      </c>
      <c r="O23" s="5">
        <f>Tableau14[[#This Row],[Moyen de Maitrise]]*Tableau14[[#This Row],[Priorité initiale]]</f>
        <v>4</v>
      </c>
      <c r="P23" s="5" t="s">
        <v>1</v>
      </c>
      <c r="Q23" s="4" t="s">
        <v>230</v>
      </c>
      <c r="S23" s="10"/>
      <c r="T23" s="4"/>
    </row>
    <row r="24" spans="1:20" ht="75" x14ac:dyDescent="0.25">
      <c r="A24" s="8">
        <v>63</v>
      </c>
      <c r="B24" s="4" t="s">
        <v>17</v>
      </c>
      <c r="C24" s="4" t="s">
        <v>16</v>
      </c>
      <c r="D24" s="4" t="s">
        <v>47</v>
      </c>
      <c r="E24" s="7">
        <v>3</v>
      </c>
      <c r="F24" s="4" t="s">
        <v>229</v>
      </c>
      <c r="G24" s="4" t="s">
        <v>228</v>
      </c>
      <c r="H24" s="4" t="s">
        <v>227</v>
      </c>
      <c r="I24" s="4" t="s">
        <v>11</v>
      </c>
      <c r="J24" s="1">
        <v>1</v>
      </c>
      <c r="K24" s="1">
        <v>4</v>
      </c>
      <c r="L24" s="1">
        <f>Tableau14[[#This Row],[Fréquence]]*Tableau14[[#This Row],[Gravité]]</f>
        <v>4</v>
      </c>
      <c r="M24" s="4" t="s">
        <v>226</v>
      </c>
      <c r="N24" s="1">
        <v>1</v>
      </c>
      <c r="O24" s="2">
        <f>Tableau14[[#This Row],[Moyen de Maitrise]]*Tableau14[[#This Row],[Priorité initiale]]</f>
        <v>4</v>
      </c>
      <c r="P24" s="5" t="s">
        <v>1</v>
      </c>
      <c r="Q24" s="4" t="s">
        <v>225</v>
      </c>
      <c r="S24" s="10">
        <v>45212</v>
      </c>
    </row>
    <row r="25" spans="1:20" ht="75" x14ac:dyDescent="0.25">
      <c r="A25" s="8">
        <v>115</v>
      </c>
      <c r="B25" s="4" t="s">
        <v>17</v>
      </c>
      <c r="C25" s="4" t="s">
        <v>16</v>
      </c>
      <c r="D25" s="4" t="s">
        <v>158</v>
      </c>
      <c r="E25" s="7">
        <v>6</v>
      </c>
      <c r="F25" s="4" t="s">
        <v>146</v>
      </c>
      <c r="G25" s="4" t="s">
        <v>145</v>
      </c>
      <c r="H25" s="4" t="s">
        <v>144</v>
      </c>
      <c r="I25" s="4" t="s">
        <v>11</v>
      </c>
      <c r="J25" s="1">
        <v>1</v>
      </c>
      <c r="K25" s="1">
        <v>4</v>
      </c>
      <c r="L25" s="1">
        <f>Tableau14[[#This Row],[Fréquence]]*Tableau14[[#This Row],[Gravité]]</f>
        <v>4</v>
      </c>
      <c r="M25" s="4" t="s">
        <v>157</v>
      </c>
      <c r="N25" s="1">
        <v>1</v>
      </c>
      <c r="O25" s="2">
        <f>Tableau14[[#This Row],[Moyen de Maitrise]]*Tableau14[[#This Row],[Priorité initiale]]</f>
        <v>4</v>
      </c>
      <c r="P25" s="5" t="s">
        <v>1</v>
      </c>
      <c r="Q25" s="4" t="s">
        <v>157</v>
      </c>
      <c r="S25" s="9">
        <v>45172</v>
      </c>
    </row>
    <row r="26" spans="1:20" ht="75" x14ac:dyDescent="0.25">
      <c r="A26" s="8">
        <v>117</v>
      </c>
      <c r="B26" s="4" t="s">
        <v>17</v>
      </c>
      <c r="C26" s="4" t="s">
        <v>16</v>
      </c>
      <c r="D26" s="4" t="s">
        <v>15</v>
      </c>
      <c r="E26" s="7">
        <v>6</v>
      </c>
      <c r="F26" s="4" t="s">
        <v>146</v>
      </c>
      <c r="G26" s="4" t="s">
        <v>145</v>
      </c>
      <c r="H26" s="4" t="s">
        <v>221</v>
      </c>
      <c r="I26" s="4" t="s">
        <v>11</v>
      </c>
      <c r="J26" s="1">
        <v>2</v>
      </c>
      <c r="K26" s="1">
        <v>4</v>
      </c>
      <c r="L26" s="1">
        <f>Tableau14[[#This Row],[Fréquence]]*Tableau14[[#This Row],[Gravité]]</f>
        <v>8</v>
      </c>
      <c r="M26" s="4" t="s">
        <v>266</v>
      </c>
      <c r="N26" s="1">
        <v>0.5</v>
      </c>
      <c r="O26" s="2">
        <f>Tableau14[[#This Row],[Moyen de Maitrise]]*Tableau14[[#This Row],[Priorité initiale]]</f>
        <v>4</v>
      </c>
      <c r="P26" s="5" t="s">
        <v>1</v>
      </c>
      <c r="Q26" s="4" t="s">
        <v>267</v>
      </c>
      <c r="S26" s="9"/>
    </row>
    <row r="27" spans="1:20" ht="75" x14ac:dyDescent="0.25">
      <c r="A27" s="8">
        <v>163</v>
      </c>
      <c r="B27" s="4" t="s">
        <v>17</v>
      </c>
      <c r="C27" s="4" t="s">
        <v>16</v>
      </c>
      <c r="D27" s="4" t="s">
        <v>158</v>
      </c>
      <c r="E27" s="7">
        <v>8</v>
      </c>
      <c r="F27" s="4" t="s">
        <v>216</v>
      </c>
      <c r="G27" s="4" t="s">
        <v>219</v>
      </c>
      <c r="H27" s="4" t="s">
        <v>136</v>
      </c>
      <c r="I27" s="4" t="s">
        <v>11</v>
      </c>
      <c r="J27" s="1">
        <v>1</v>
      </c>
      <c r="K27" s="1">
        <v>4</v>
      </c>
      <c r="L27" s="1">
        <f>Tableau14[[#This Row],[Fréquence]]*Tableau14[[#This Row],[Gravité]]</f>
        <v>4</v>
      </c>
      <c r="M27" s="4" t="s">
        <v>157</v>
      </c>
      <c r="N27" s="1">
        <v>1</v>
      </c>
      <c r="O27" s="2">
        <f>Tableau14[[#This Row],[Moyen de Maitrise]]*Tableau14[[#This Row],[Priorité initiale]]</f>
        <v>4</v>
      </c>
      <c r="P27" s="5" t="s">
        <v>1</v>
      </c>
      <c r="Q27" s="4" t="s">
        <v>157</v>
      </c>
      <c r="S27" s="10">
        <v>45354</v>
      </c>
    </row>
    <row r="28" spans="1:20" ht="90" x14ac:dyDescent="0.25">
      <c r="A28" s="8">
        <v>164</v>
      </c>
      <c r="B28" s="4" t="s">
        <v>17</v>
      </c>
      <c r="C28" s="4" t="s">
        <v>148</v>
      </c>
      <c r="D28" s="4" t="s">
        <v>147</v>
      </c>
      <c r="E28" s="7">
        <v>8</v>
      </c>
      <c r="F28" s="4" t="s">
        <v>216</v>
      </c>
      <c r="G28" s="4" t="s">
        <v>219</v>
      </c>
      <c r="H28" s="4" t="s">
        <v>136</v>
      </c>
      <c r="I28" s="4" t="s">
        <v>143</v>
      </c>
      <c r="J28" s="1">
        <v>1</v>
      </c>
      <c r="K28" s="1">
        <v>4</v>
      </c>
      <c r="L28" s="1">
        <f>Tableau14[[#This Row],[Fréquence]]*Tableau14[[#This Row],[Gravité]]</f>
        <v>4</v>
      </c>
      <c r="M28" s="4" t="s">
        <v>218</v>
      </c>
      <c r="N28" s="1">
        <v>1</v>
      </c>
      <c r="O28" s="2">
        <f>Tableau14[[#This Row],[Moyen de Maitrise]]*Tableau14[[#This Row],[Priorité initiale]]</f>
        <v>4</v>
      </c>
      <c r="P28" s="5" t="s">
        <v>1</v>
      </c>
      <c r="Q28" s="4" t="s">
        <v>217</v>
      </c>
      <c r="S28" s="10">
        <v>44782</v>
      </c>
    </row>
    <row r="29" spans="1:20" ht="30" x14ac:dyDescent="0.25">
      <c r="A29" s="8">
        <v>165</v>
      </c>
      <c r="B29" s="4" t="s">
        <v>17</v>
      </c>
      <c r="C29" s="4" t="s">
        <v>16</v>
      </c>
      <c r="D29" s="4" t="s">
        <v>15</v>
      </c>
      <c r="E29" s="7">
        <v>8</v>
      </c>
      <c r="F29" s="4" t="s">
        <v>216</v>
      </c>
      <c r="G29" s="4" t="s">
        <v>215</v>
      </c>
      <c r="H29" s="4" t="s">
        <v>136</v>
      </c>
      <c r="I29" s="4" t="s">
        <v>11</v>
      </c>
      <c r="J29" s="1">
        <v>1</v>
      </c>
      <c r="K29" s="1">
        <v>4</v>
      </c>
      <c r="L29" s="1">
        <f>Tableau14[[#This Row],[Fréquence]]*Tableau14[[#This Row],[Gravité]]</f>
        <v>4</v>
      </c>
      <c r="M29" s="4" t="s">
        <v>214</v>
      </c>
      <c r="N29" s="1">
        <v>1</v>
      </c>
      <c r="O29" s="2">
        <f>Tableau14[[#This Row],[Moyen de Maitrise]]*Tableau14[[#This Row],[Priorité initiale]]</f>
        <v>4</v>
      </c>
      <c r="P29" s="5" t="s">
        <v>1</v>
      </c>
      <c r="Q29" s="4" t="s">
        <v>213</v>
      </c>
      <c r="S29" s="10"/>
    </row>
    <row r="30" spans="1:20" ht="75" x14ac:dyDescent="0.25">
      <c r="A30" s="8">
        <v>201</v>
      </c>
      <c r="B30" s="4" t="s">
        <v>17</v>
      </c>
      <c r="C30" s="4" t="s">
        <v>16</v>
      </c>
      <c r="D30" s="4" t="s">
        <v>158</v>
      </c>
      <c r="E30" s="7">
        <v>12</v>
      </c>
      <c r="F30" s="4" t="s">
        <v>208</v>
      </c>
      <c r="G30" s="4" t="s">
        <v>210</v>
      </c>
      <c r="H30" s="4" t="s">
        <v>209</v>
      </c>
      <c r="I30" s="4" t="s">
        <v>11</v>
      </c>
      <c r="J30" s="1">
        <v>2</v>
      </c>
      <c r="K30" s="1">
        <v>2</v>
      </c>
      <c r="L30" s="1">
        <f>Tableau14[[#This Row],[Fréquence]]*Tableau14[[#This Row],[Gravité]]</f>
        <v>4</v>
      </c>
      <c r="M30" s="4" t="s">
        <v>157</v>
      </c>
      <c r="N30" s="1">
        <v>1</v>
      </c>
      <c r="O30" s="2">
        <f>Tableau14[[#This Row],[Moyen de Maitrise]]*Tableau14[[#This Row],[Priorité initiale]]</f>
        <v>4</v>
      </c>
      <c r="P30" s="5" t="s">
        <v>1</v>
      </c>
      <c r="Q30" s="4" t="s">
        <v>157</v>
      </c>
    </row>
    <row r="31" spans="1:20" ht="60" x14ac:dyDescent="0.25">
      <c r="A31" s="8">
        <v>202</v>
      </c>
      <c r="B31" s="4" t="s">
        <v>17</v>
      </c>
      <c r="C31" s="4" t="s">
        <v>148</v>
      </c>
      <c r="D31" s="4" t="s">
        <v>147</v>
      </c>
      <c r="E31" s="7">
        <v>12</v>
      </c>
      <c r="F31" s="4" t="s">
        <v>208</v>
      </c>
      <c r="G31" s="4" t="s">
        <v>210</v>
      </c>
      <c r="H31" s="4" t="s">
        <v>209</v>
      </c>
      <c r="I31" s="4" t="s">
        <v>143</v>
      </c>
      <c r="J31" s="1">
        <v>2</v>
      </c>
      <c r="K31" s="1">
        <v>2</v>
      </c>
      <c r="L31" s="1">
        <f>Tableau14[[#This Row],[Fréquence]]*Tableau14[[#This Row],[Gravité]]</f>
        <v>4</v>
      </c>
      <c r="M31" s="4" t="s">
        <v>212</v>
      </c>
      <c r="N31" s="1">
        <v>1</v>
      </c>
      <c r="O31" s="2">
        <f>Tableau14[[#This Row],[Moyen de Maitrise]]*Tableau14[[#This Row],[Priorité initiale]]</f>
        <v>4</v>
      </c>
      <c r="P31" s="5" t="s">
        <v>1</v>
      </c>
      <c r="Q31" s="4" t="s">
        <v>211</v>
      </c>
    </row>
    <row r="32" spans="1:20" ht="30" x14ac:dyDescent="0.25">
      <c r="A32" s="8">
        <v>203</v>
      </c>
      <c r="B32" s="4" t="s">
        <v>17</v>
      </c>
      <c r="C32" s="4" t="s">
        <v>16</v>
      </c>
      <c r="D32" s="4" t="s">
        <v>15</v>
      </c>
      <c r="E32" s="7">
        <v>12</v>
      </c>
      <c r="F32" s="4" t="s">
        <v>208</v>
      </c>
      <c r="G32" s="4" t="s">
        <v>207</v>
      </c>
      <c r="H32" s="4" t="s">
        <v>206</v>
      </c>
      <c r="I32" s="4" t="s">
        <v>11</v>
      </c>
      <c r="J32" s="1">
        <v>2</v>
      </c>
      <c r="K32" s="1">
        <v>4</v>
      </c>
      <c r="L32" s="1">
        <f>Tableau14[[#This Row],[Fréquence]]*Tableau14[[#This Row],[Gravité]]</f>
        <v>8</v>
      </c>
      <c r="M32" s="4" t="s">
        <v>205</v>
      </c>
      <c r="N32" s="1">
        <v>0.5</v>
      </c>
      <c r="O32" s="2">
        <f>Tableau14[[#This Row],[Moyen de Maitrise]]*Tableau14[[#This Row],[Priorité initiale]]</f>
        <v>4</v>
      </c>
      <c r="P32" s="5" t="s">
        <v>1</v>
      </c>
      <c r="Q32" s="4"/>
    </row>
    <row r="33" spans="1:19" ht="45" x14ac:dyDescent="0.25">
      <c r="A33" s="8">
        <v>365</v>
      </c>
      <c r="B33" s="4" t="s">
        <v>17</v>
      </c>
      <c r="C33" s="4" t="s">
        <v>16</v>
      </c>
      <c r="D33" s="4" t="s">
        <v>15</v>
      </c>
      <c r="E33" s="7">
        <v>29</v>
      </c>
      <c r="F33" s="4" t="s">
        <v>80</v>
      </c>
      <c r="G33" s="4" t="s">
        <v>180</v>
      </c>
      <c r="H33" s="4" t="s">
        <v>179</v>
      </c>
      <c r="I33" s="6" t="s">
        <v>11</v>
      </c>
      <c r="J33" s="1">
        <v>1</v>
      </c>
      <c r="K33" s="1">
        <v>4</v>
      </c>
      <c r="L33" s="1">
        <f>Tableau14[[#This Row],[Fréquence]]*Tableau14[[#This Row],[Gravité]]</f>
        <v>4</v>
      </c>
      <c r="M33" s="4" t="s">
        <v>58</v>
      </c>
      <c r="N33" s="1">
        <v>1</v>
      </c>
      <c r="O33" s="2">
        <f>Tableau14[[#This Row],[Moyen de Maitrise]]*Tableau14[[#This Row],[Priorité initiale]]</f>
        <v>4</v>
      </c>
      <c r="P33" s="5" t="s">
        <v>1</v>
      </c>
      <c r="Q33" s="4" t="s">
        <v>178</v>
      </c>
      <c r="S33" s="9"/>
    </row>
    <row r="34" spans="1:19" ht="105" x14ac:dyDescent="0.25">
      <c r="A34" s="8">
        <v>439</v>
      </c>
      <c r="B34" s="4" t="s">
        <v>17</v>
      </c>
      <c r="C34" s="4" t="s">
        <v>16</v>
      </c>
      <c r="D34" s="4" t="s">
        <v>15</v>
      </c>
      <c r="E34" s="7">
        <v>38</v>
      </c>
      <c r="F34" s="4" t="s">
        <v>69</v>
      </c>
      <c r="G34" s="4" t="s">
        <v>172</v>
      </c>
      <c r="H34" s="4" t="s">
        <v>67</v>
      </c>
      <c r="I34" s="6" t="s">
        <v>11</v>
      </c>
      <c r="J34" s="1">
        <v>2</v>
      </c>
      <c r="K34" s="1">
        <v>4</v>
      </c>
      <c r="L34" s="1">
        <f>Tableau14[[#This Row],[Fréquence]]*Tableau14[[#This Row],[Gravité]]</f>
        <v>8</v>
      </c>
      <c r="M34" s="4" t="s">
        <v>171</v>
      </c>
      <c r="N34" s="1">
        <v>0.5</v>
      </c>
      <c r="O34" s="2">
        <f>Tableau14[[#This Row],[Moyen de Maitrise]]*Tableau14[[#This Row],[Priorité initiale]]</f>
        <v>4</v>
      </c>
      <c r="P34" s="5" t="s">
        <v>1</v>
      </c>
      <c r="Q34" s="4" t="s">
        <v>170</v>
      </c>
    </row>
    <row r="35" spans="1:19" ht="120" x14ac:dyDescent="0.25">
      <c r="A35" s="8">
        <v>479</v>
      </c>
      <c r="B35" s="4" t="s">
        <v>17</v>
      </c>
      <c r="C35" s="4" t="s">
        <v>16</v>
      </c>
      <c r="D35" s="4" t="s">
        <v>47</v>
      </c>
      <c r="E35" s="7">
        <v>40</v>
      </c>
      <c r="F35" s="4" t="s">
        <v>25</v>
      </c>
      <c r="G35" s="4" t="s">
        <v>24</v>
      </c>
      <c r="H35" s="4" t="s">
        <v>23</v>
      </c>
      <c r="I35" s="6" t="s">
        <v>11</v>
      </c>
      <c r="J35" s="1">
        <v>1</v>
      </c>
      <c r="K35" s="1">
        <v>4</v>
      </c>
      <c r="L35" s="1">
        <f>Tableau14[[#This Row],[Fréquence]]*Tableau14[[#This Row],[Gravité]]</f>
        <v>4</v>
      </c>
      <c r="M35" s="4" t="s">
        <v>22</v>
      </c>
      <c r="N35" s="1">
        <v>1</v>
      </c>
      <c r="O35" s="2">
        <f>Tableau14[[#This Row],[Moyen de Maitrise]]*Tableau14[[#This Row],[Priorité initiale]]</f>
        <v>4</v>
      </c>
      <c r="P35" s="5" t="s">
        <v>1</v>
      </c>
      <c r="Q35" s="4" t="s">
        <v>21</v>
      </c>
    </row>
    <row r="36" spans="1:19" ht="105" x14ac:dyDescent="0.25">
      <c r="A36" s="8">
        <v>399</v>
      </c>
      <c r="B36" s="4" t="s">
        <v>17</v>
      </c>
      <c r="C36" s="4" t="s">
        <v>16</v>
      </c>
      <c r="D36" s="4" t="s">
        <v>47</v>
      </c>
      <c r="E36" s="7">
        <v>33</v>
      </c>
      <c r="F36" s="4" t="s">
        <v>5</v>
      </c>
      <c r="G36" s="4" t="s">
        <v>4</v>
      </c>
      <c r="H36" s="4" t="s">
        <v>3</v>
      </c>
      <c r="I36" s="6" t="s">
        <v>11</v>
      </c>
      <c r="J36" s="1">
        <v>1</v>
      </c>
      <c r="K36" s="1">
        <v>4</v>
      </c>
      <c r="L36" s="1">
        <f>Tableau14[[#This Row],[Fréquence]]*Tableau14[[#This Row],[Gravité]]</f>
        <v>4</v>
      </c>
      <c r="M36" s="4" t="s">
        <v>2</v>
      </c>
      <c r="N36" s="1">
        <v>1</v>
      </c>
      <c r="O36" s="2">
        <f>Tableau14[[#This Row],[Moyen de Maitrise]]*Tableau14[[#This Row],[Priorité initiale]]</f>
        <v>4</v>
      </c>
      <c r="P36" s="5" t="s">
        <v>1</v>
      </c>
      <c r="Q36" s="4" t="s">
        <v>0</v>
      </c>
    </row>
    <row r="37" spans="1:19" ht="45" x14ac:dyDescent="0.25">
      <c r="A37" s="8">
        <v>87</v>
      </c>
      <c r="B37" s="4" t="s">
        <v>17</v>
      </c>
      <c r="C37" s="4" t="s">
        <v>16</v>
      </c>
      <c r="D37" s="4" t="s">
        <v>15</v>
      </c>
      <c r="E37" s="7">
        <v>5</v>
      </c>
      <c r="F37" s="4" t="s">
        <v>224</v>
      </c>
      <c r="G37" s="4" t="s">
        <v>223</v>
      </c>
      <c r="H37" s="4" t="s">
        <v>220</v>
      </c>
      <c r="I37" s="4" t="s">
        <v>11</v>
      </c>
      <c r="J37" s="1">
        <v>2</v>
      </c>
      <c r="K37" s="1">
        <v>3</v>
      </c>
      <c r="L37" s="1">
        <f>Tableau14[[#This Row],[Fréquence]]*Tableau14[[#This Row],[Gravité]]</f>
        <v>6</v>
      </c>
      <c r="M37" s="4" t="s">
        <v>222</v>
      </c>
      <c r="N37" s="1">
        <v>0.5</v>
      </c>
      <c r="O37" s="2">
        <f>Tableau14[[#This Row],[Moyen de Maitrise]]*Tableau14[[#This Row],[Priorité initiale]]</f>
        <v>3</v>
      </c>
      <c r="P37" s="5" t="s">
        <v>6</v>
      </c>
      <c r="Q37" s="11"/>
    </row>
    <row r="38" spans="1:19" ht="30" x14ac:dyDescent="0.25">
      <c r="A38" s="8">
        <v>174</v>
      </c>
      <c r="B38" s="4" t="s">
        <v>17</v>
      </c>
      <c r="C38" s="4" t="s">
        <v>16</v>
      </c>
      <c r="D38" s="4" t="s">
        <v>15</v>
      </c>
      <c r="E38" s="7">
        <v>10</v>
      </c>
      <c r="F38" s="4" t="s">
        <v>133</v>
      </c>
      <c r="G38" s="4" t="s">
        <v>132</v>
      </c>
      <c r="H38" s="4" t="s">
        <v>131</v>
      </c>
      <c r="I38" s="4" t="s">
        <v>11</v>
      </c>
      <c r="J38" s="1">
        <v>1</v>
      </c>
      <c r="K38" s="1">
        <v>3</v>
      </c>
      <c r="L38" s="1">
        <f>Tableau14[[#This Row],[Fréquence]]*Tableau14[[#This Row],[Gravité]]</f>
        <v>3</v>
      </c>
      <c r="M38" s="4" t="s">
        <v>58</v>
      </c>
      <c r="N38" s="1">
        <v>1</v>
      </c>
      <c r="O38" s="2">
        <f>Tableau14[[#This Row],[Moyen de Maitrise]]*Tableau14[[#This Row],[Priorité initiale]]</f>
        <v>3</v>
      </c>
      <c r="P38" s="5" t="s">
        <v>6</v>
      </c>
      <c r="Q38" s="4" t="s">
        <v>130</v>
      </c>
    </row>
    <row r="39" spans="1:19" ht="90" x14ac:dyDescent="0.25">
      <c r="A39" s="8">
        <v>342</v>
      </c>
      <c r="B39" s="4" t="s">
        <v>17</v>
      </c>
      <c r="C39" s="4" t="s">
        <v>16</v>
      </c>
      <c r="D39" s="4" t="s">
        <v>15</v>
      </c>
      <c r="E39" s="7">
        <v>26</v>
      </c>
      <c r="F39" s="4" t="s">
        <v>93</v>
      </c>
      <c r="G39" s="4" t="s">
        <v>92</v>
      </c>
      <c r="H39" s="4" t="s">
        <v>91</v>
      </c>
      <c r="I39" s="6" t="s">
        <v>11</v>
      </c>
      <c r="J39" s="1">
        <v>2</v>
      </c>
      <c r="K39" s="1">
        <v>3</v>
      </c>
      <c r="L39" s="1">
        <f>Tableau14[[#This Row],[Fréquence]]*Tableau14[[#This Row],[Gravité]]</f>
        <v>6</v>
      </c>
      <c r="M39" s="4" t="s">
        <v>90</v>
      </c>
      <c r="N39" s="1">
        <v>0.5</v>
      </c>
      <c r="O39" s="2">
        <f>Tableau14[[#This Row],[Moyen de Maitrise]]*Tableau14[[#This Row],[Priorité initiale]]</f>
        <v>3</v>
      </c>
      <c r="P39" s="5" t="s">
        <v>6</v>
      </c>
      <c r="Q39" s="4"/>
      <c r="S39" s="9"/>
    </row>
    <row r="40" spans="1:19" ht="45" x14ac:dyDescent="0.25">
      <c r="A40" s="8">
        <v>407</v>
      </c>
      <c r="B40" s="4" t="s">
        <v>17</v>
      </c>
      <c r="C40" s="4" t="s">
        <v>16</v>
      </c>
      <c r="D40" s="4" t="s">
        <v>15</v>
      </c>
      <c r="E40" s="7">
        <v>34</v>
      </c>
      <c r="F40" s="4" t="s">
        <v>85</v>
      </c>
      <c r="G40" s="4" t="s">
        <v>84</v>
      </c>
      <c r="H40" s="4" t="s">
        <v>83</v>
      </c>
      <c r="I40" s="6" t="s">
        <v>11</v>
      </c>
      <c r="J40" s="1">
        <v>1</v>
      </c>
      <c r="K40" s="1">
        <v>4</v>
      </c>
      <c r="L40" s="1">
        <f>Tableau14[[#This Row],[Fréquence]]*Tableau14[[#This Row],[Gravité]]</f>
        <v>4</v>
      </c>
      <c r="M40" s="4" t="s">
        <v>82</v>
      </c>
      <c r="N40" s="1">
        <v>0.75</v>
      </c>
      <c r="O40" s="2">
        <f>Tableau14[[#This Row],[Moyen de Maitrise]]*Tableau14[[#This Row],[Priorité initiale]]</f>
        <v>3</v>
      </c>
      <c r="P40" s="5" t="s">
        <v>6</v>
      </c>
      <c r="Q40" s="4" t="s">
        <v>81</v>
      </c>
    </row>
    <row r="41" spans="1:19" ht="45" x14ac:dyDescent="0.25">
      <c r="A41" s="8">
        <v>366</v>
      </c>
      <c r="B41" s="4" t="s">
        <v>17</v>
      </c>
      <c r="C41" s="4" t="s">
        <v>16</v>
      </c>
      <c r="D41" s="4" t="s">
        <v>15</v>
      </c>
      <c r="E41" s="7">
        <v>29</v>
      </c>
      <c r="F41" s="4" t="s">
        <v>80</v>
      </c>
      <c r="G41" s="4" t="s">
        <v>79</v>
      </c>
      <c r="H41" s="4" t="s">
        <v>78</v>
      </c>
      <c r="I41" s="6" t="s">
        <v>11</v>
      </c>
      <c r="J41" s="1">
        <v>3</v>
      </c>
      <c r="K41" s="1">
        <v>1</v>
      </c>
      <c r="L41" s="1">
        <f>Tableau14[[#This Row],[Fréquence]]*Tableau14[[#This Row],[Gravité]]</f>
        <v>3</v>
      </c>
      <c r="M41" s="4" t="s">
        <v>58</v>
      </c>
      <c r="N41" s="1">
        <v>1</v>
      </c>
      <c r="O41" s="2">
        <f>Tableau14[[#This Row],[Moyen de Maitrise]]*Tableau14[[#This Row],[Priorité initiale]]</f>
        <v>3</v>
      </c>
      <c r="P41" s="5" t="s">
        <v>6</v>
      </c>
      <c r="Q41" s="4" t="s">
        <v>77</v>
      </c>
      <c r="S41" s="9"/>
    </row>
    <row r="42" spans="1:19" ht="105" x14ac:dyDescent="0.25">
      <c r="A42" s="8">
        <v>357</v>
      </c>
      <c r="B42" s="4" t="s">
        <v>17</v>
      </c>
      <c r="C42" s="4" t="s">
        <v>16</v>
      </c>
      <c r="D42" s="4" t="s">
        <v>47</v>
      </c>
      <c r="E42" s="7">
        <v>28</v>
      </c>
      <c r="F42" s="4" t="s">
        <v>57</v>
      </c>
      <c r="G42" s="4" t="s">
        <v>56</v>
      </c>
      <c r="H42" s="4" t="s">
        <v>55</v>
      </c>
      <c r="I42" s="6" t="s">
        <v>11</v>
      </c>
      <c r="J42" s="1">
        <v>3</v>
      </c>
      <c r="K42" s="1">
        <v>2</v>
      </c>
      <c r="L42" s="1">
        <f>Tableau14[[#This Row],[Fréquence]]*Tableau14[[#This Row],[Gravité]]</f>
        <v>6</v>
      </c>
      <c r="M42" s="4" t="s">
        <v>54</v>
      </c>
      <c r="N42" s="1">
        <v>0.5</v>
      </c>
      <c r="O42" s="2">
        <f>Tableau14[[#This Row],[Moyen de Maitrise]]*Tableau14[[#This Row],[Priorité initiale]]</f>
        <v>3</v>
      </c>
      <c r="P42" s="5" t="s">
        <v>6</v>
      </c>
      <c r="Q42" s="4" t="s">
        <v>53</v>
      </c>
      <c r="S42" s="9"/>
    </row>
    <row r="43" spans="1:19" ht="105" x14ac:dyDescent="0.25">
      <c r="A43" s="8">
        <v>421</v>
      </c>
      <c r="B43" s="4" t="s">
        <v>17</v>
      </c>
      <c r="C43" s="4" t="s">
        <v>16</v>
      </c>
      <c r="D43" s="4" t="s">
        <v>47</v>
      </c>
      <c r="E43" s="7">
        <v>36</v>
      </c>
      <c r="F43" s="4" t="s">
        <v>42</v>
      </c>
      <c r="G43" s="4" t="s">
        <v>46</v>
      </c>
      <c r="H43" s="4" t="s">
        <v>45</v>
      </c>
      <c r="I43" s="6" t="s">
        <v>11</v>
      </c>
      <c r="J43" s="1">
        <v>1</v>
      </c>
      <c r="K43" s="1">
        <v>4</v>
      </c>
      <c r="L43" s="1">
        <f>Tableau14[[#This Row],[Fréquence]]*Tableau14[[#This Row],[Gravité]]</f>
        <v>4</v>
      </c>
      <c r="M43" s="4" t="s">
        <v>44</v>
      </c>
      <c r="N43" s="1">
        <v>0.75</v>
      </c>
      <c r="O43" s="2">
        <f>Tableau14[[#This Row],[Moyen de Maitrise]]*Tableau14[[#This Row],[Priorité initiale]]</f>
        <v>3</v>
      </c>
      <c r="P43" s="5" t="s">
        <v>6</v>
      </c>
      <c r="Q43" s="4" t="s">
        <v>43</v>
      </c>
    </row>
    <row r="44" spans="1:19" ht="45" x14ac:dyDescent="0.25">
      <c r="A44" s="8">
        <v>430</v>
      </c>
      <c r="B44" s="4" t="s">
        <v>17</v>
      </c>
      <c r="C44" s="4" t="s">
        <v>16</v>
      </c>
      <c r="D44" s="4" t="s">
        <v>15</v>
      </c>
      <c r="E44" s="7">
        <v>37</v>
      </c>
      <c r="F44" s="4" t="s">
        <v>30</v>
      </c>
      <c r="G44" s="4" t="s">
        <v>29</v>
      </c>
      <c r="H44" s="4" t="s">
        <v>28</v>
      </c>
      <c r="I44" s="6" t="s">
        <v>11</v>
      </c>
      <c r="J44" s="1">
        <v>1</v>
      </c>
      <c r="K44" s="1">
        <v>4</v>
      </c>
      <c r="L44" s="1">
        <f>Tableau14[[#This Row],[Fréquence]]*Tableau14[[#This Row],[Gravité]]</f>
        <v>4</v>
      </c>
      <c r="M44" s="4" t="s">
        <v>27</v>
      </c>
      <c r="N44" s="1">
        <v>0.75</v>
      </c>
      <c r="O44" s="2">
        <f>Tableau14[[#This Row],[Moyen de Maitrise]]*Tableau14[[#This Row],[Priorité initiale]]</f>
        <v>3</v>
      </c>
      <c r="P44" s="5" t="s">
        <v>6</v>
      </c>
      <c r="Q44" s="4" t="s">
        <v>26</v>
      </c>
    </row>
    <row r="45" spans="1:19" ht="330" x14ac:dyDescent="0.25">
      <c r="A45" s="8">
        <v>486</v>
      </c>
      <c r="B45" s="4" t="s">
        <v>17</v>
      </c>
      <c r="C45" s="4" t="s">
        <v>16</v>
      </c>
      <c r="D45" s="4" t="s">
        <v>47</v>
      </c>
      <c r="E45" s="7">
        <v>41</v>
      </c>
      <c r="F45" s="4" t="s">
        <v>35</v>
      </c>
      <c r="G45" s="4" t="s">
        <v>34</v>
      </c>
      <c r="H45" s="4" t="s">
        <v>33</v>
      </c>
      <c r="I45" s="6" t="s">
        <v>11</v>
      </c>
      <c r="J45" s="1">
        <v>3</v>
      </c>
      <c r="K45" s="1">
        <v>1</v>
      </c>
      <c r="L45" s="1">
        <f>Tableau14[[#This Row],[Fréquence]]*Tableau14[[#This Row],[Gravité]]</f>
        <v>3</v>
      </c>
      <c r="M45" s="4" t="s">
        <v>32</v>
      </c>
      <c r="N45" s="1">
        <v>0.75</v>
      </c>
      <c r="O45" s="2">
        <f>Tableau14[[#This Row],[Moyen de Maitrise]]*Tableau14[[#This Row],[Priorité initiale]]</f>
        <v>2.25</v>
      </c>
      <c r="P45" s="5" t="s">
        <v>6</v>
      </c>
      <c r="Q45" s="4" t="s">
        <v>31</v>
      </c>
    </row>
    <row r="46" spans="1:19" ht="45" x14ac:dyDescent="0.25">
      <c r="A46" s="8">
        <v>406</v>
      </c>
      <c r="B46" s="4" t="s">
        <v>17</v>
      </c>
      <c r="C46" s="4" t="s">
        <v>16</v>
      </c>
      <c r="D46" s="4" t="s">
        <v>15</v>
      </c>
      <c r="E46" s="7">
        <v>34</v>
      </c>
      <c r="F46" s="4" t="s">
        <v>85</v>
      </c>
      <c r="G46" s="4" t="s">
        <v>89</v>
      </c>
      <c r="H46" s="4" t="s">
        <v>88</v>
      </c>
      <c r="I46" s="6" t="s">
        <v>11</v>
      </c>
      <c r="J46" s="1">
        <v>1</v>
      </c>
      <c r="K46" s="1">
        <v>3</v>
      </c>
      <c r="L46" s="1">
        <f>Tableau14[[#This Row],[Fréquence]]*Tableau14[[#This Row],[Gravité]]</f>
        <v>3</v>
      </c>
      <c r="M46" s="4" t="s">
        <v>87</v>
      </c>
      <c r="N46" s="1">
        <v>0.75</v>
      </c>
      <c r="O46" s="2">
        <f>Tableau14[[#This Row],[Moyen de Maitrise]]*Tableau14[[#This Row],[Priorité initiale]]</f>
        <v>2.25</v>
      </c>
      <c r="P46" s="5" t="s">
        <v>6</v>
      </c>
      <c r="Q46" s="4" t="s">
        <v>86</v>
      </c>
    </row>
    <row r="47" spans="1:19" ht="90" x14ac:dyDescent="0.25">
      <c r="A47" s="8">
        <v>414</v>
      </c>
      <c r="B47" s="4" t="s">
        <v>17</v>
      </c>
      <c r="C47" s="4" t="s">
        <v>16</v>
      </c>
      <c r="D47" s="4" t="s">
        <v>15</v>
      </c>
      <c r="E47" s="7">
        <v>35</v>
      </c>
      <c r="F47" s="4" t="s">
        <v>74</v>
      </c>
      <c r="G47" s="4" t="s">
        <v>73</v>
      </c>
      <c r="H47" s="4" t="s">
        <v>72</v>
      </c>
      <c r="I47" s="6" t="s">
        <v>11</v>
      </c>
      <c r="J47" s="1">
        <v>1</v>
      </c>
      <c r="K47" s="1">
        <v>3</v>
      </c>
      <c r="L47" s="1">
        <f>Tableau14[[#This Row],[Fréquence]]*Tableau14[[#This Row],[Gravité]]</f>
        <v>3</v>
      </c>
      <c r="M47" s="4" t="s">
        <v>71</v>
      </c>
      <c r="N47" s="1">
        <v>0.75</v>
      </c>
      <c r="O47" s="2">
        <f>Tableau14[[#This Row],[Moyen de Maitrise]]*Tableau14[[#This Row],[Priorité initiale]]</f>
        <v>2.25</v>
      </c>
      <c r="P47" s="5" t="s">
        <v>6</v>
      </c>
      <c r="Q47" s="4" t="s">
        <v>70</v>
      </c>
    </row>
    <row r="48" spans="1:19" ht="60" x14ac:dyDescent="0.25">
      <c r="A48" s="8">
        <v>379</v>
      </c>
      <c r="B48" s="4" t="s">
        <v>17</v>
      </c>
      <c r="C48" s="4" t="s">
        <v>16</v>
      </c>
      <c r="D48" s="4" t="s">
        <v>47</v>
      </c>
      <c r="E48" s="7">
        <v>31</v>
      </c>
      <c r="F48" s="4" t="s">
        <v>52</v>
      </c>
      <c r="G48" s="4" t="s">
        <v>51</v>
      </c>
      <c r="H48" s="4" t="s">
        <v>50</v>
      </c>
      <c r="I48" s="6" t="s">
        <v>11</v>
      </c>
      <c r="J48" s="1">
        <v>1</v>
      </c>
      <c r="K48" s="1">
        <v>3</v>
      </c>
      <c r="L48" s="1">
        <f>Tableau14[[#This Row],[Fréquence]]*Tableau14[[#This Row],[Gravité]]</f>
        <v>3</v>
      </c>
      <c r="M48" s="4" t="s">
        <v>49</v>
      </c>
      <c r="N48" s="1">
        <v>0.75</v>
      </c>
      <c r="O48" s="2">
        <f>Tableau14[[#This Row],[Moyen de Maitrise]]*Tableau14[[#This Row],[Priorité initiale]]</f>
        <v>2.25</v>
      </c>
      <c r="P48" s="5" t="s">
        <v>6</v>
      </c>
      <c r="Q48" s="4" t="s">
        <v>48</v>
      </c>
    </row>
    <row r="49" spans="1:20" ht="135" x14ac:dyDescent="0.25">
      <c r="A49" s="8">
        <v>39</v>
      </c>
      <c r="B49" s="4" t="s">
        <v>17</v>
      </c>
      <c r="C49" s="4" t="s">
        <v>16</v>
      </c>
      <c r="D49" s="4" t="s">
        <v>158</v>
      </c>
      <c r="E49" s="7">
        <v>1</v>
      </c>
      <c r="F49" s="4" t="s">
        <v>153</v>
      </c>
      <c r="G49" s="4" t="s">
        <v>152</v>
      </c>
      <c r="H49" s="4" t="s">
        <v>151</v>
      </c>
      <c r="I49" s="4" t="s">
        <v>11</v>
      </c>
      <c r="J49" s="1">
        <v>1</v>
      </c>
      <c r="K49" s="1">
        <v>4</v>
      </c>
      <c r="L49" s="1">
        <f>Tableau14[[#This Row],[Fréquence]]*Tableau14[[#This Row],[Gravité]]</f>
        <v>4</v>
      </c>
      <c r="M49" s="4" t="s">
        <v>157</v>
      </c>
      <c r="N49" s="1">
        <v>0.5</v>
      </c>
      <c r="O49" s="5">
        <f>Tableau14[[#This Row],[Moyen de Maitrise]]*Tableau14[[#This Row],[Priorité initiale]]</f>
        <v>2</v>
      </c>
      <c r="P49" s="5" t="s">
        <v>6</v>
      </c>
      <c r="Q49" s="4"/>
      <c r="S49" s="10">
        <v>45172</v>
      </c>
      <c r="T49" s="4"/>
    </row>
    <row r="50" spans="1:20" ht="135" x14ac:dyDescent="0.25">
      <c r="A50" s="8">
        <v>40</v>
      </c>
      <c r="B50" s="4" t="s">
        <v>17</v>
      </c>
      <c r="C50" s="4" t="s">
        <v>148</v>
      </c>
      <c r="D50" s="4" t="s">
        <v>147</v>
      </c>
      <c r="E50" s="7">
        <v>1</v>
      </c>
      <c r="F50" s="4" t="s">
        <v>153</v>
      </c>
      <c r="G50" s="4" t="s">
        <v>152</v>
      </c>
      <c r="H50" s="4" t="s">
        <v>151</v>
      </c>
      <c r="I50" s="4" t="s">
        <v>143</v>
      </c>
      <c r="J50" s="1">
        <v>1</v>
      </c>
      <c r="K50" s="1">
        <v>4</v>
      </c>
      <c r="L50" s="1">
        <f>Tableau14[[#This Row],[Fréquence]]*Tableau14[[#This Row],[Gravité]]</f>
        <v>4</v>
      </c>
      <c r="M50" s="4" t="s">
        <v>150</v>
      </c>
      <c r="N50" s="1">
        <v>0.5</v>
      </c>
      <c r="O50" s="5">
        <f>Tableau14[[#This Row],[Moyen de Maitrise]]*Tableau14[[#This Row],[Priorité initiale]]</f>
        <v>2</v>
      </c>
      <c r="P50" s="5" t="s">
        <v>6</v>
      </c>
      <c r="Q50" s="4" t="s">
        <v>149</v>
      </c>
      <c r="S50" s="10"/>
      <c r="T50" s="4"/>
    </row>
    <row r="51" spans="1:20" ht="135" x14ac:dyDescent="0.25">
      <c r="A51" s="8">
        <v>116</v>
      </c>
      <c r="B51" s="4" t="s">
        <v>17</v>
      </c>
      <c r="C51" s="4" t="s">
        <v>148</v>
      </c>
      <c r="D51" s="4" t="s">
        <v>147</v>
      </c>
      <c r="E51" s="7">
        <v>6</v>
      </c>
      <c r="F51" s="4" t="s">
        <v>146</v>
      </c>
      <c r="G51" s="4" t="s">
        <v>145</v>
      </c>
      <c r="H51" s="4" t="s">
        <v>144</v>
      </c>
      <c r="I51" s="4" t="s">
        <v>143</v>
      </c>
      <c r="J51" s="1">
        <v>1</v>
      </c>
      <c r="K51" s="1">
        <v>4</v>
      </c>
      <c r="L51" s="1">
        <f>Tableau14[[#This Row],[Fréquence]]*Tableau14[[#This Row],[Gravité]]</f>
        <v>4</v>
      </c>
      <c r="M51" s="4" t="s">
        <v>142</v>
      </c>
      <c r="N51" s="1">
        <v>0.5</v>
      </c>
      <c r="O51" s="2">
        <f>Tableau14[[#This Row],[Moyen de Maitrise]]*Tableau14[[#This Row],[Priorité initiale]]</f>
        <v>2</v>
      </c>
      <c r="P51" s="5" t="s">
        <v>6</v>
      </c>
      <c r="Q51" s="4" t="s">
        <v>141</v>
      </c>
      <c r="S51" s="9">
        <v>45890</v>
      </c>
    </row>
    <row r="52" spans="1:20" ht="120" x14ac:dyDescent="0.25">
      <c r="A52" s="8">
        <v>132</v>
      </c>
      <c r="B52" s="4" t="s">
        <v>17</v>
      </c>
      <c r="C52" s="4" t="s">
        <v>16</v>
      </c>
      <c r="D52" s="4" t="s">
        <v>15</v>
      </c>
      <c r="E52" s="7">
        <v>7</v>
      </c>
      <c r="F52" s="4" t="s">
        <v>138</v>
      </c>
      <c r="G52" s="4" t="s">
        <v>137</v>
      </c>
      <c r="H52" s="4" t="s">
        <v>136</v>
      </c>
      <c r="I52" s="4" t="s">
        <v>11</v>
      </c>
      <c r="J52" s="1">
        <v>1</v>
      </c>
      <c r="K52" s="1">
        <v>4</v>
      </c>
      <c r="L52" s="1">
        <f>Tableau14[[#This Row],[Fréquence]]*Tableau14[[#This Row],[Gravité]]</f>
        <v>4</v>
      </c>
      <c r="M52" s="4" t="s">
        <v>135</v>
      </c>
      <c r="N52" s="1">
        <v>0.5</v>
      </c>
      <c r="O52" s="2">
        <f>Tableau14[[#This Row],[Moyen de Maitrise]]*Tableau14[[#This Row],[Priorité initiale]]</f>
        <v>2</v>
      </c>
      <c r="P52" s="5" t="s">
        <v>6</v>
      </c>
      <c r="Q52" s="4" t="s">
        <v>134</v>
      </c>
      <c r="S52" s="9"/>
    </row>
    <row r="53" spans="1:20" ht="60" x14ac:dyDescent="0.25">
      <c r="A53" s="8">
        <v>243</v>
      </c>
      <c r="B53" s="4" t="s">
        <v>17</v>
      </c>
      <c r="C53" s="4" t="s">
        <v>16</v>
      </c>
      <c r="D53" s="4" t="s">
        <v>15</v>
      </c>
      <c r="E53" s="7">
        <v>16</v>
      </c>
      <c r="F53" s="4" t="s">
        <v>125</v>
      </c>
      <c r="G53" s="4" t="s">
        <v>129</v>
      </c>
      <c r="H53" s="4" t="s">
        <v>128</v>
      </c>
      <c r="I53" s="4" t="s">
        <v>11</v>
      </c>
      <c r="J53" s="1">
        <v>1</v>
      </c>
      <c r="K53" s="1">
        <v>4</v>
      </c>
      <c r="L53" s="1">
        <f>Tableau14[[#This Row],[Fréquence]]*Tableau14[[#This Row],[Gravité]]</f>
        <v>4</v>
      </c>
      <c r="M53" s="4" t="s">
        <v>127</v>
      </c>
      <c r="N53" s="1">
        <v>0.5</v>
      </c>
      <c r="O53" s="2">
        <f>Tableau14[[#This Row],[Moyen de Maitrise]]*Tableau14[[#This Row],[Priorité initiale]]</f>
        <v>2</v>
      </c>
      <c r="P53" s="5" t="s">
        <v>6</v>
      </c>
      <c r="Q53" s="4" t="s">
        <v>126</v>
      </c>
      <c r="S53" s="9"/>
    </row>
    <row r="54" spans="1:20" ht="120" x14ac:dyDescent="0.25">
      <c r="A54" s="8">
        <v>244</v>
      </c>
      <c r="B54" s="4" t="s">
        <v>17</v>
      </c>
      <c r="C54" s="4" t="s">
        <v>16</v>
      </c>
      <c r="D54" s="4" t="s">
        <v>15</v>
      </c>
      <c r="E54" s="7">
        <v>16</v>
      </c>
      <c r="F54" s="4" t="s">
        <v>125</v>
      </c>
      <c r="G54" s="4" t="s">
        <v>124</v>
      </c>
      <c r="H54" s="4" t="s">
        <v>123</v>
      </c>
      <c r="I54" s="4" t="s">
        <v>11</v>
      </c>
      <c r="J54" s="1">
        <v>1</v>
      </c>
      <c r="K54" s="1">
        <v>4</v>
      </c>
      <c r="L54" s="1">
        <f>Tableau14[[#This Row],[Fréquence]]*Tableau14[[#This Row],[Gravité]]</f>
        <v>4</v>
      </c>
      <c r="M54" s="4" t="s">
        <v>122</v>
      </c>
      <c r="N54" s="1">
        <v>0.5</v>
      </c>
      <c r="O54" s="2">
        <f>Tableau14[[#This Row],[Moyen de Maitrise]]*Tableau14[[#This Row],[Priorité initiale]]</f>
        <v>2</v>
      </c>
      <c r="P54" s="5" t="s">
        <v>6</v>
      </c>
      <c r="Q54" s="4" t="s">
        <v>121</v>
      </c>
      <c r="S54" s="9"/>
    </row>
    <row r="55" spans="1:20" ht="60" x14ac:dyDescent="0.25">
      <c r="A55" s="8">
        <v>328</v>
      </c>
      <c r="B55" s="4" t="s">
        <v>17</v>
      </c>
      <c r="C55" s="4" t="s">
        <v>16</v>
      </c>
      <c r="D55" s="4" t="s">
        <v>47</v>
      </c>
      <c r="E55" s="7">
        <v>25</v>
      </c>
      <c r="F55" s="4" t="s">
        <v>102</v>
      </c>
      <c r="G55" s="4" t="s">
        <v>108</v>
      </c>
      <c r="H55" s="4" t="s">
        <v>107</v>
      </c>
      <c r="I55" s="6" t="s">
        <v>11</v>
      </c>
      <c r="J55" s="1">
        <v>4</v>
      </c>
      <c r="K55" s="1">
        <v>1</v>
      </c>
      <c r="L55" s="1">
        <f>Tableau14[[#This Row],[Fréquence]]*Tableau14[[#This Row],[Gravité]]</f>
        <v>4</v>
      </c>
      <c r="M55" s="4" t="s">
        <v>106</v>
      </c>
      <c r="N55" s="1">
        <v>0.5</v>
      </c>
      <c r="O55" s="2">
        <f>Tableau14[[#This Row],[Moyen de Maitrise]]*Tableau14[[#This Row],[Priorité initiale]]</f>
        <v>2</v>
      </c>
      <c r="P55" s="5" t="s">
        <v>6</v>
      </c>
      <c r="Q55" s="4" t="s">
        <v>105</v>
      </c>
      <c r="S55" s="9"/>
    </row>
    <row r="56" spans="1:20" ht="30" x14ac:dyDescent="0.25">
      <c r="A56" s="8">
        <v>329</v>
      </c>
      <c r="B56" s="4" t="s">
        <v>17</v>
      </c>
      <c r="C56" s="4" t="s">
        <v>16</v>
      </c>
      <c r="D56" s="4" t="s">
        <v>15</v>
      </c>
      <c r="E56" s="7">
        <v>25</v>
      </c>
      <c r="F56" s="4" t="s">
        <v>102</v>
      </c>
      <c r="G56" s="4" t="s">
        <v>101</v>
      </c>
      <c r="H56" s="4" t="s">
        <v>100</v>
      </c>
      <c r="I56" s="6" t="s">
        <v>11</v>
      </c>
      <c r="J56" s="1">
        <v>1</v>
      </c>
      <c r="K56" s="1">
        <v>4</v>
      </c>
      <c r="L56" s="1">
        <f>Tableau14[[#This Row],[Fréquence]]*Tableau14[[#This Row],[Gravité]]</f>
        <v>4</v>
      </c>
      <c r="M56" s="4" t="s">
        <v>99</v>
      </c>
      <c r="N56" s="1">
        <v>0.5</v>
      </c>
      <c r="O56" s="2">
        <f>Tableau14[[#This Row],[Moyen de Maitrise]]*Tableau14[[#This Row],[Priorité initiale]]</f>
        <v>2</v>
      </c>
      <c r="P56" s="5" t="s">
        <v>6</v>
      </c>
      <c r="Q56" s="4" t="s">
        <v>98</v>
      </c>
      <c r="S56" s="9"/>
    </row>
    <row r="57" spans="1:20" ht="60" x14ac:dyDescent="0.25">
      <c r="A57" s="8">
        <v>341</v>
      </c>
      <c r="B57" s="4" t="s">
        <v>17</v>
      </c>
      <c r="C57" s="4" t="s">
        <v>16</v>
      </c>
      <c r="D57" s="4" t="s">
        <v>47</v>
      </c>
      <c r="E57" s="7">
        <v>26</v>
      </c>
      <c r="F57" s="4" t="s">
        <v>93</v>
      </c>
      <c r="G57" s="4" t="s">
        <v>97</v>
      </c>
      <c r="H57" s="4" t="s">
        <v>96</v>
      </c>
      <c r="I57" s="6" t="s">
        <v>11</v>
      </c>
      <c r="J57" s="1">
        <v>2</v>
      </c>
      <c r="K57" s="1">
        <v>2</v>
      </c>
      <c r="L57" s="1">
        <f>Tableau14[[#This Row],[Fréquence]]*Tableau14[[#This Row],[Gravité]]</f>
        <v>4</v>
      </c>
      <c r="M57" s="4" t="s">
        <v>95</v>
      </c>
      <c r="N57" s="1">
        <v>0.5</v>
      </c>
      <c r="O57" s="2">
        <f>Tableau14[[#This Row],[Moyen de Maitrise]]*Tableau14[[#This Row],[Priorité initiale]]</f>
        <v>2</v>
      </c>
      <c r="P57" s="5" t="s">
        <v>6</v>
      </c>
      <c r="Q57" s="4" t="s">
        <v>94</v>
      </c>
      <c r="S57" s="9"/>
    </row>
    <row r="58" spans="1:20" ht="30" x14ac:dyDescent="0.25">
      <c r="A58" s="8">
        <v>382</v>
      </c>
      <c r="B58" s="4" t="s">
        <v>17</v>
      </c>
      <c r="C58" s="4" t="s">
        <v>16</v>
      </c>
      <c r="D58" s="4" t="s">
        <v>15</v>
      </c>
      <c r="E58" s="7">
        <v>32</v>
      </c>
      <c r="F58" s="4" t="s">
        <v>61</v>
      </c>
      <c r="G58" s="4" t="s">
        <v>60</v>
      </c>
      <c r="H58" s="4" t="s">
        <v>59</v>
      </c>
      <c r="I58" s="6" t="s">
        <v>11</v>
      </c>
      <c r="J58" s="1">
        <v>2</v>
      </c>
      <c r="K58" s="1">
        <v>1</v>
      </c>
      <c r="L58" s="1">
        <f>Tableau14[[#This Row],[Fréquence]]*Tableau14[[#This Row],[Gravité]]</f>
        <v>2</v>
      </c>
      <c r="M58" s="4" t="s">
        <v>58</v>
      </c>
      <c r="N58" s="1">
        <v>1</v>
      </c>
      <c r="O58" s="2">
        <f>Tableau14[[#This Row],[Moyen de Maitrise]]*Tableau14[[#This Row],[Priorité initiale]]</f>
        <v>2</v>
      </c>
      <c r="P58" s="5" t="s">
        <v>6</v>
      </c>
      <c r="Q58" s="4"/>
    </row>
    <row r="59" spans="1:20" ht="90" x14ac:dyDescent="0.25">
      <c r="A59" s="8">
        <v>471</v>
      </c>
      <c r="B59" s="4" t="s">
        <v>17</v>
      </c>
      <c r="C59" s="4" t="s">
        <v>16</v>
      </c>
      <c r="D59" s="4" t="s">
        <v>15</v>
      </c>
      <c r="E59" s="7">
        <v>39</v>
      </c>
      <c r="F59" s="4" t="s">
        <v>14</v>
      </c>
      <c r="G59" s="4" t="s">
        <v>13</v>
      </c>
      <c r="H59" s="4" t="s">
        <v>12</v>
      </c>
      <c r="I59" s="6" t="s">
        <v>11</v>
      </c>
      <c r="J59" s="1">
        <v>1</v>
      </c>
      <c r="K59" s="1">
        <v>4</v>
      </c>
      <c r="L59" s="1">
        <f>Tableau14[[#This Row],[Fréquence]]*Tableau14[[#This Row],[Gravité]]</f>
        <v>4</v>
      </c>
      <c r="M59" s="4" t="s">
        <v>10</v>
      </c>
      <c r="N59" s="1">
        <v>0.5</v>
      </c>
      <c r="O59" s="2">
        <f>Tableau14[[#This Row],[Moyen de Maitrise]]*Tableau14[[#This Row],[Priorité initiale]]</f>
        <v>2</v>
      </c>
      <c r="P59" s="5" t="s">
        <v>6</v>
      </c>
      <c r="Q59" s="4" t="s">
        <v>9</v>
      </c>
      <c r="S59" s="9"/>
    </row>
    <row r="60" spans="1:20" ht="60" x14ac:dyDescent="0.25">
      <c r="A60" s="8">
        <v>317</v>
      </c>
      <c r="B60" s="4" t="s">
        <v>17</v>
      </c>
      <c r="C60" s="4" t="s">
        <v>16</v>
      </c>
      <c r="D60" s="4" t="s">
        <v>15</v>
      </c>
      <c r="E60" s="7">
        <v>24</v>
      </c>
      <c r="F60" s="4" t="s">
        <v>113</v>
      </c>
      <c r="G60" s="4" t="s">
        <v>112</v>
      </c>
      <c r="H60" s="4" t="s">
        <v>111</v>
      </c>
      <c r="I60" s="6" t="s">
        <v>11</v>
      </c>
      <c r="J60" s="1">
        <v>1</v>
      </c>
      <c r="K60" s="1">
        <v>2</v>
      </c>
      <c r="L60" s="1">
        <f>Tableau14[[#This Row],[Fréquence]]*Tableau14[[#This Row],[Gravité]]</f>
        <v>2</v>
      </c>
      <c r="M60" s="4" t="s">
        <v>110</v>
      </c>
      <c r="N60" s="1">
        <v>0.75</v>
      </c>
      <c r="O60" s="2">
        <f>Tableau14[[#This Row],[Moyen de Maitrise]]*Tableau14[[#This Row],[Priorité initiale]]</f>
        <v>1.5</v>
      </c>
      <c r="P60" s="5" t="s">
        <v>6</v>
      </c>
      <c r="Q60" s="4" t="s">
        <v>109</v>
      </c>
    </row>
    <row r="61" spans="1:20" ht="45" x14ac:dyDescent="0.25">
      <c r="A61" s="8">
        <v>423</v>
      </c>
      <c r="B61" s="4" t="s">
        <v>17</v>
      </c>
      <c r="C61" s="4" t="s">
        <v>16</v>
      </c>
      <c r="D61" s="4" t="s">
        <v>15</v>
      </c>
      <c r="E61" s="7">
        <v>36</v>
      </c>
      <c r="F61" s="4" t="s">
        <v>42</v>
      </c>
      <c r="G61" s="4" t="s">
        <v>41</v>
      </c>
      <c r="H61" s="4" t="s">
        <v>40</v>
      </c>
      <c r="I61" s="6" t="s">
        <v>11</v>
      </c>
      <c r="J61" s="1">
        <v>1</v>
      </c>
      <c r="K61" s="1">
        <v>3</v>
      </c>
      <c r="L61" s="1">
        <f>Tableau14[[#This Row],[Fréquence]]*Tableau14[[#This Row],[Gravité]]</f>
        <v>3</v>
      </c>
      <c r="M61" s="4" t="s">
        <v>39</v>
      </c>
      <c r="N61" s="1">
        <v>0.5</v>
      </c>
      <c r="O61" s="2">
        <f>Tableau14[[#This Row],[Moyen de Maitrise]]*Tableau14[[#This Row],[Priorité initiale]]</f>
        <v>1.5</v>
      </c>
      <c r="P61" s="5" t="s">
        <v>6</v>
      </c>
      <c r="Q61" s="4" t="s">
        <v>38</v>
      </c>
    </row>
    <row r="62" spans="1:20" ht="45" x14ac:dyDescent="0.25">
      <c r="A62" s="8">
        <v>468</v>
      </c>
      <c r="B62" s="4" t="s">
        <v>17</v>
      </c>
      <c r="C62" s="4" t="s">
        <v>16</v>
      </c>
      <c r="D62" s="4" t="s">
        <v>15</v>
      </c>
      <c r="E62" s="7">
        <v>39</v>
      </c>
      <c r="F62" s="4" t="s">
        <v>14</v>
      </c>
      <c r="G62" s="4" t="s">
        <v>20</v>
      </c>
      <c r="H62" s="4" t="s">
        <v>19</v>
      </c>
      <c r="I62" s="6" t="s">
        <v>11</v>
      </c>
      <c r="J62" s="1">
        <v>1</v>
      </c>
      <c r="K62" s="1">
        <v>3</v>
      </c>
      <c r="L62" s="1">
        <f>Tableau14[[#This Row],[Fréquence]]*Tableau14[[#This Row],[Gravité]]</f>
        <v>3</v>
      </c>
      <c r="M62" s="4" t="s">
        <v>18</v>
      </c>
      <c r="N62" s="1">
        <v>0.5</v>
      </c>
      <c r="O62" s="2">
        <f>Tableau14[[#This Row],[Moyen de Maitrise]]*Tableau14[[#This Row],[Priorité initiale]]</f>
        <v>1.5</v>
      </c>
      <c r="P62" s="5" t="s">
        <v>6</v>
      </c>
      <c r="Q62" s="4"/>
      <c r="S62" s="10"/>
    </row>
    <row r="63" spans="1:20" ht="75" x14ac:dyDescent="0.25">
      <c r="A63" s="8">
        <v>241</v>
      </c>
      <c r="B63" s="4" t="s">
        <v>17</v>
      </c>
      <c r="C63" s="4" t="s">
        <v>16</v>
      </c>
      <c r="D63" s="4" t="s">
        <v>158</v>
      </c>
      <c r="E63" s="7">
        <v>16</v>
      </c>
      <c r="F63" s="4" t="s">
        <v>125</v>
      </c>
      <c r="G63" s="4" t="s">
        <v>124</v>
      </c>
      <c r="H63" s="4" t="s">
        <v>189</v>
      </c>
      <c r="I63" s="4" t="s">
        <v>11</v>
      </c>
      <c r="J63" s="1">
        <v>1</v>
      </c>
      <c r="K63" s="1">
        <v>4</v>
      </c>
      <c r="L63" s="1">
        <f>Tableau14[[#This Row],[Fréquence]]*Tableau14[[#This Row],[Gravité]]</f>
        <v>4</v>
      </c>
      <c r="M63" s="4" t="s">
        <v>157</v>
      </c>
      <c r="N63" s="1">
        <v>0.5</v>
      </c>
      <c r="O63" s="2">
        <v>1</v>
      </c>
      <c r="P63" s="5" t="s">
        <v>6</v>
      </c>
      <c r="Q63" s="4" t="s">
        <v>157</v>
      </c>
      <c r="S63" s="9">
        <v>45379</v>
      </c>
    </row>
    <row r="64" spans="1:20" ht="75" x14ac:dyDescent="0.25">
      <c r="A64" s="8">
        <v>315</v>
      </c>
      <c r="B64" s="4" t="s">
        <v>17</v>
      </c>
      <c r="C64" s="4" t="s">
        <v>16</v>
      </c>
      <c r="D64" s="4" t="s">
        <v>15</v>
      </c>
      <c r="E64" s="7">
        <v>24</v>
      </c>
      <c r="F64" s="4" t="s">
        <v>113</v>
      </c>
      <c r="G64" s="4" t="s">
        <v>120</v>
      </c>
      <c r="H64" s="4" t="s">
        <v>119</v>
      </c>
      <c r="I64" s="6" t="s">
        <v>11</v>
      </c>
      <c r="J64" s="1">
        <v>1</v>
      </c>
      <c r="K64" s="1">
        <v>2</v>
      </c>
      <c r="L64" s="1">
        <f>Tableau14[[#This Row],[Fréquence]]*Tableau14[[#This Row],[Gravité]]</f>
        <v>2</v>
      </c>
      <c r="M64" s="4" t="s">
        <v>118</v>
      </c>
      <c r="N64" s="1">
        <v>0.5</v>
      </c>
      <c r="O64" s="2">
        <f>Tableau14[[#This Row],[Moyen de Maitrise]]*Tableau14[[#This Row],[Priorité initiale]]</f>
        <v>1</v>
      </c>
      <c r="P64" s="5" t="s">
        <v>6</v>
      </c>
      <c r="Q64" s="4" t="s">
        <v>117</v>
      </c>
    </row>
    <row r="65" spans="1:22" ht="105" x14ac:dyDescent="0.25">
      <c r="A65" s="12">
        <v>240</v>
      </c>
      <c r="B65" s="13" t="s">
        <v>17</v>
      </c>
      <c r="C65" s="13" t="s">
        <v>271</v>
      </c>
      <c r="D65" s="13" t="s">
        <v>272</v>
      </c>
      <c r="E65" s="14">
        <v>16</v>
      </c>
      <c r="F65" s="13" t="s">
        <v>125</v>
      </c>
      <c r="G65" s="13" t="s">
        <v>124</v>
      </c>
      <c r="H65" s="13" t="s">
        <v>189</v>
      </c>
      <c r="I65" s="13" t="s">
        <v>273</v>
      </c>
      <c r="J65" s="15">
        <v>1</v>
      </c>
      <c r="K65" s="15">
        <v>4</v>
      </c>
      <c r="L65" s="15">
        <v>4</v>
      </c>
      <c r="M65" s="13" t="s">
        <v>200</v>
      </c>
      <c r="N65" s="15">
        <v>0.5</v>
      </c>
      <c r="O65" s="16">
        <v>2</v>
      </c>
      <c r="P65" s="17" t="s">
        <v>6</v>
      </c>
      <c r="Q65" s="13" t="s">
        <v>274</v>
      </c>
      <c r="R65" s="15"/>
      <c r="S65" s="18">
        <v>46090</v>
      </c>
      <c r="T65" s="19">
        <v>45354</v>
      </c>
      <c r="U65" s="15" t="s">
        <v>275</v>
      </c>
      <c r="V65" s="20"/>
    </row>
    <row r="66" spans="1:22" ht="300" x14ac:dyDescent="0.25">
      <c r="A66" s="21">
        <v>38</v>
      </c>
      <c r="B66" s="22" t="s">
        <v>17</v>
      </c>
      <c r="C66" s="22" t="s">
        <v>271</v>
      </c>
      <c r="D66" s="22" t="s">
        <v>272</v>
      </c>
      <c r="E66" s="23">
        <v>1</v>
      </c>
      <c r="F66" s="22" t="s">
        <v>153</v>
      </c>
      <c r="G66" s="22" t="s">
        <v>152</v>
      </c>
      <c r="H66" s="22" t="s">
        <v>151</v>
      </c>
      <c r="I66" s="22" t="s">
        <v>273</v>
      </c>
      <c r="J66" s="24">
        <v>1</v>
      </c>
      <c r="K66" s="24">
        <v>4</v>
      </c>
      <c r="L66" s="24">
        <v>4</v>
      </c>
      <c r="M66" s="22" t="s">
        <v>276</v>
      </c>
      <c r="N66" s="24">
        <v>1</v>
      </c>
      <c r="O66" s="25">
        <v>4</v>
      </c>
      <c r="P66" s="25" t="s">
        <v>1</v>
      </c>
      <c r="Q66" s="22" t="s">
        <v>277</v>
      </c>
      <c r="R66" s="24"/>
      <c r="S66" s="24"/>
      <c r="T66" s="26">
        <v>45600</v>
      </c>
      <c r="U66" s="22"/>
      <c r="V66" s="27"/>
    </row>
    <row r="67" spans="1:22" ht="90" x14ac:dyDescent="0.25">
      <c r="A67" s="12">
        <v>162</v>
      </c>
      <c r="B67" s="13" t="s">
        <v>17</v>
      </c>
      <c r="C67" s="13" t="s">
        <v>271</v>
      </c>
      <c r="D67" s="13" t="s">
        <v>272</v>
      </c>
      <c r="E67" s="14">
        <v>8</v>
      </c>
      <c r="F67" s="13" t="s">
        <v>216</v>
      </c>
      <c r="G67" s="13" t="s">
        <v>219</v>
      </c>
      <c r="H67" s="13" t="s">
        <v>136</v>
      </c>
      <c r="I67" s="13" t="s">
        <v>273</v>
      </c>
      <c r="J67" s="15">
        <v>1</v>
      </c>
      <c r="K67" s="15">
        <v>4</v>
      </c>
      <c r="L67" s="15">
        <v>4</v>
      </c>
      <c r="M67" s="13" t="s">
        <v>278</v>
      </c>
      <c r="N67" s="15">
        <v>1</v>
      </c>
      <c r="O67" s="16">
        <v>4</v>
      </c>
      <c r="P67" s="17" t="s">
        <v>1</v>
      </c>
      <c r="Q67" s="13" t="s">
        <v>217</v>
      </c>
      <c r="R67" s="15"/>
      <c r="S67" s="15"/>
      <c r="T67" s="28">
        <v>44719</v>
      </c>
      <c r="U67" s="15"/>
      <c r="V67" s="20"/>
    </row>
    <row r="68" spans="1:22" ht="60" x14ac:dyDescent="0.25">
      <c r="A68" s="21">
        <v>200</v>
      </c>
      <c r="B68" s="22" t="s">
        <v>17</v>
      </c>
      <c r="C68" s="22" t="s">
        <v>271</v>
      </c>
      <c r="D68" s="22" t="s">
        <v>272</v>
      </c>
      <c r="E68" s="23">
        <v>12</v>
      </c>
      <c r="F68" s="22" t="s">
        <v>208</v>
      </c>
      <c r="G68" s="22" t="s">
        <v>210</v>
      </c>
      <c r="H68" s="22" t="s">
        <v>209</v>
      </c>
      <c r="I68" s="22" t="s">
        <v>273</v>
      </c>
      <c r="J68" s="24">
        <v>2</v>
      </c>
      <c r="K68" s="24">
        <v>2</v>
      </c>
      <c r="L68" s="24">
        <v>4</v>
      </c>
      <c r="M68" s="22" t="s">
        <v>279</v>
      </c>
      <c r="N68" s="24">
        <v>1</v>
      </c>
      <c r="O68" s="29">
        <v>4</v>
      </c>
      <c r="P68" s="25" t="s">
        <v>1</v>
      </c>
      <c r="Q68" s="22" t="s">
        <v>211</v>
      </c>
      <c r="R68" s="24"/>
      <c r="S68" s="24"/>
      <c r="T68" s="24"/>
      <c r="U68" s="24"/>
      <c r="V68" s="27"/>
    </row>
    <row r="69" spans="1:22" ht="120" x14ac:dyDescent="0.25">
      <c r="A69" s="12">
        <v>114</v>
      </c>
      <c r="B69" s="13" t="s">
        <v>17</v>
      </c>
      <c r="C69" s="13" t="s">
        <v>271</v>
      </c>
      <c r="D69" s="13" t="s">
        <v>272</v>
      </c>
      <c r="E69" s="14">
        <v>6</v>
      </c>
      <c r="F69" s="13" t="s">
        <v>146</v>
      </c>
      <c r="G69" s="13" t="s">
        <v>145</v>
      </c>
      <c r="H69" s="13" t="s">
        <v>144</v>
      </c>
      <c r="I69" s="13" t="s">
        <v>273</v>
      </c>
      <c r="J69" s="15">
        <v>1</v>
      </c>
      <c r="K69" s="15">
        <v>4</v>
      </c>
      <c r="L69" s="15">
        <v>4</v>
      </c>
      <c r="M69" s="13" t="s">
        <v>280</v>
      </c>
      <c r="N69" s="15">
        <v>0.5</v>
      </c>
      <c r="O69" s="16">
        <v>2</v>
      </c>
      <c r="P69" s="17" t="s">
        <v>1</v>
      </c>
      <c r="Q69" s="13" t="s">
        <v>141</v>
      </c>
      <c r="R69" s="15"/>
      <c r="S69" s="15"/>
      <c r="T69" s="19">
        <v>44992</v>
      </c>
      <c r="U69" s="15"/>
      <c r="V69" s="20"/>
    </row>
  </sheetData>
  <conditionalFormatting sqref="P1:Q2 P70:Q1048576 P3:P63">
    <cfRule type="containsText" dxfId="54" priority="22" operator="containsText" text="P1">
      <formula>NOT(ISERROR(SEARCH("P1",P1)))</formula>
    </cfRule>
    <cfRule type="containsText" dxfId="53" priority="23" operator="containsText" text="P2">
      <formula>NOT(ISERROR(SEARCH("P2",P1)))</formula>
    </cfRule>
    <cfRule type="containsText" dxfId="52" priority="24" operator="containsText" text="P3">
      <formula>NOT(ISERROR(SEARCH("P3",P1)))</formula>
    </cfRule>
  </conditionalFormatting>
  <conditionalFormatting sqref="P3:P63">
    <cfRule type="containsText" dxfId="51" priority="17" operator="containsText" text="P3">
      <formula>NOT(ISERROR(SEARCH("P3",P3)))</formula>
    </cfRule>
    <cfRule type="containsText" dxfId="50" priority="18" operator="containsText" text="P1">
      <formula>NOT(ISERROR(SEARCH("P1",P3)))</formula>
    </cfRule>
    <cfRule type="containsText" dxfId="49" priority="19" operator="containsText" text="P3">
      <formula>NOT(ISERROR(SEARCH("P3",P3)))</formula>
    </cfRule>
    <cfRule type="containsText" dxfId="48" priority="20" operator="containsText" text="P2">
      <formula>NOT(ISERROR(SEARCH("P2",P3)))</formula>
    </cfRule>
    <cfRule type="containsText" dxfId="47" priority="21" operator="containsText" text="P1">
      <formula>NOT(ISERROR(SEARCH("P1",P3)))</formula>
    </cfRule>
  </conditionalFormatting>
  <conditionalFormatting sqref="P64">
    <cfRule type="containsText" dxfId="46" priority="14" operator="containsText" text="P1">
      <formula>NOT(ISERROR(SEARCH("P1",P64)))</formula>
    </cfRule>
    <cfRule type="containsText" dxfId="45" priority="15" operator="containsText" text="P2">
      <formula>NOT(ISERROR(SEARCH("P2",P64)))</formula>
    </cfRule>
    <cfRule type="containsText" dxfId="44" priority="16" operator="containsText" text="P3">
      <formula>NOT(ISERROR(SEARCH("P3",P64)))</formula>
    </cfRule>
  </conditionalFormatting>
  <conditionalFormatting sqref="P64">
    <cfRule type="containsText" dxfId="43" priority="9" operator="containsText" text="P3">
      <formula>NOT(ISERROR(SEARCH("P3",P64)))</formula>
    </cfRule>
    <cfRule type="containsText" dxfId="42" priority="10" operator="containsText" text="P1">
      <formula>NOT(ISERROR(SEARCH("P1",P64)))</formula>
    </cfRule>
    <cfRule type="containsText" dxfId="41" priority="11" operator="containsText" text="P3">
      <formula>NOT(ISERROR(SEARCH("P3",P64)))</formula>
    </cfRule>
    <cfRule type="containsText" dxfId="40" priority="12" operator="containsText" text="P2">
      <formula>NOT(ISERROR(SEARCH("P2",P64)))</formula>
    </cfRule>
    <cfRule type="containsText" dxfId="39" priority="13" operator="containsText" text="P1">
      <formula>NOT(ISERROR(SEARCH("P1",P64)))</formula>
    </cfRule>
  </conditionalFormatting>
  <conditionalFormatting sqref="P65:P69">
    <cfRule type="containsText" dxfId="15" priority="6" operator="containsText" text="P1">
      <formula>NOT(ISERROR(SEARCH("P1",P65)))</formula>
    </cfRule>
    <cfRule type="containsText" dxfId="14" priority="7" operator="containsText" text="P2">
      <formula>NOT(ISERROR(SEARCH("P2",P65)))</formula>
    </cfRule>
    <cfRule type="containsText" dxfId="13" priority="8" operator="containsText" text="P3">
      <formula>NOT(ISERROR(SEARCH("P3",P65)))</formula>
    </cfRule>
  </conditionalFormatting>
  <conditionalFormatting sqref="P65:P69">
    <cfRule type="containsText" dxfId="9" priority="1" operator="containsText" text="P3">
      <formula>NOT(ISERROR(SEARCH("P3",P65)))</formula>
    </cfRule>
    <cfRule type="containsText" dxfId="8" priority="2" operator="containsText" text="P1">
      <formula>NOT(ISERROR(SEARCH("P1",P65)))</formula>
    </cfRule>
    <cfRule type="containsText" dxfId="7" priority="3" operator="containsText" text="P3">
      <formula>NOT(ISERROR(SEARCH("P3",P65)))</formula>
    </cfRule>
    <cfRule type="containsText" dxfId="6" priority="4" operator="containsText" text="P2">
      <formula>NOT(ISERROR(SEARCH("P2",P65)))</formula>
    </cfRule>
    <cfRule type="containsText" dxfId="5" priority="5" operator="containsText" text="P1">
      <formula>NOT(ISERROR(SEARCH("P1",P65)))</formula>
    </cfRule>
  </conditionalFormatting>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Agrégat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AMABILE Tim</dc:creator>
  <cp:lastModifiedBy>AMABILE Tim</cp:lastModifiedBy>
  <dcterms:created xsi:type="dcterms:W3CDTF">2026-03-10T12:30:09Z</dcterms:created>
  <dcterms:modified xsi:type="dcterms:W3CDTF">2026-06-10T13:59:02Z</dcterms:modified>
</cp:coreProperties>
</file>