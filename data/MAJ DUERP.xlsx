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T:\Conseiller_Prevention\Dossiers CP - Tim AMABILE\Gestion des risques\DUERP\MAJ DUERP\"/>
    </mc:Choice>
  </mc:AlternateContent>
  <xr:revisionPtr revIDLastSave="0" documentId="13_ncr:1_{7F546772-9ACA-47DD-B87F-00AEE1A70448}" xr6:coauthVersionLast="47" xr6:coauthVersionMax="47" xr10:uidLastSave="{00000000-0000-0000-0000-000000000000}"/>
  <bookViews>
    <workbookView xWindow="25080" yWindow="-690" windowWidth="29040" windowHeight="15720" xr2:uid="{B18D23A5-848D-4C4A-AB4D-6B8568D40980}"/>
  </bookViews>
  <sheets>
    <sheet name="Agrégat" sheetId="7"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480" i="7" l="1"/>
  <c r="O480" i="7" s="1"/>
  <c r="K480" i="7"/>
  <c r="N479" i="7"/>
  <c r="O479" i="7" s="1"/>
  <c r="K479" i="7"/>
  <c r="N478" i="7"/>
  <c r="O478" i="7" s="1"/>
  <c r="K478" i="7"/>
  <c r="N477" i="7"/>
  <c r="O477" i="7" s="1"/>
  <c r="K477" i="7"/>
  <c r="N476" i="7"/>
  <c r="O476" i="7" s="1"/>
  <c r="K476" i="7"/>
  <c r="N475" i="7"/>
  <c r="O475" i="7" s="1"/>
  <c r="K475" i="7"/>
  <c r="N474" i="7"/>
  <c r="O474" i="7" s="1"/>
  <c r="K474" i="7"/>
  <c r="N473" i="7"/>
  <c r="O473" i="7" s="1"/>
  <c r="K473" i="7"/>
  <c r="N472" i="7"/>
  <c r="O472" i="7" s="1"/>
  <c r="K472" i="7"/>
  <c r="N471" i="7"/>
  <c r="O471" i="7" s="1"/>
  <c r="K471" i="7"/>
  <c r="N470" i="7"/>
  <c r="O470" i="7" s="1"/>
  <c r="K470" i="7"/>
  <c r="N469" i="7"/>
  <c r="O469" i="7" s="1"/>
  <c r="K469" i="7"/>
  <c r="N468" i="7"/>
  <c r="O468" i="7" s="1"/>
  <c r="K468" i="7"/>
  <c r="N467" i="7"/>
  <c r="O467" i="7" s="1"/>
  <c r="K467" i="7"/>
  <c r="N466" i="7"/>
  <c r="O466" i="7" s="1"/>
  <c r="K466" i="7"/>
  <c r="N465" i="7"/>
  <c r="O465" i="7" s="1"/>
  <c r="K465" i="7"/>
  <c r="N464" i="7"/>
  <c r="O464" i="7" s="1"/>
  <c r="K464" i="7"/>
  <c r="N463" i="7"/>
  <c r="O463" i="7" s="1"/>
  <c r="K463" i="7"/>
  <c r="N462" i="7"/>
  <c r="O462" i="7" s="1"/>
  <c r="K462" i="7"/>
  <c r="N461" i="7"/>
  <c r="O461" i="7" s="1"/>
  <c r="K461" i="7"/>
  <c r="N460" i="7"/>
  <c r="O460" i="7" s="1"/>
  <c r="K460" i="7"/>
  <c r="N459" i="7"/>
  <c r="O459" i="7" s="1"/>
  <c r="K459" i="7"/>
  <c r="N458" i="7"/>
  <c r="O458" i="7" s="1"/>
  <c r="K458" i="7"/>
  <c r="N457" i="7"/>
  <c r="O457" i="7" s="1"/>
  <c r="K457" i="7"/>
  <c r="N456" i="7"/>
  <c r="O456" i="7" s="1"/>
  <c r="K456" i="7"/>
  <c r="N455" i="7"/>
  <c r="O455" i="7" s="1"/>
  <c r="K455" i="7"/>
  <c r="N454" i="7"/>
  <c r="O454" i="7" s="1"/>
  <c r="K454" i="7"/>
  <c r="N453" i="7"/>
  <c r="O453" i="7" s="1"/>
  <c r="K453" i="7"/>
  <c r="N452" i="7"/>
  <c r="O452" i="7" s="1"/>
  <c r="K452" i="7"/>
  <c r="N451" i="7"/>
  <c r="O451" i="7" s="1"/>
  <c r="K451" i="7"/>
  <c r="N450" i="7"/>
  <c r="O450" i="7" s="1"/>
  <c r="K450" i="7"/>
  <c r="N449" i="7"/>
  <c r="O449" i="7" s="1"/>
  <c r="K449" i="7"/>
  <c r="N448" i="7"/>
  <c r="O448" i="7" s="1"/>
  <c r="K448" i="7"/>
  <c r="N447" i="7"/>
  <c r="O447" i="7" s="1"/>
  <c r="K447" i="7"/>
  <c r="N446" i="7"/>
  <c r="O446" i="7" s="1"/>
  <c r="K446" i="7"/>
  <c r="N445" i="7"/>
  <c r="O445" i="7" s="1"/>
  <c r="K445" i="7"/>
  <c r="N444" i="7"/>
  <c r="O444" i="7" s="1"/>
  <c r="K444" i="7"/>
  <c r="N443" i="7"/>
  <c r="O443" i="7" s="1"/>
  <c r="K443" i="7"/>
  <c r="N442" i="7"/>
  <c r="O442" i="7" s="1"/>
  <c r="K442" i="7"/>
  <c r="N441" i="7"/>
  <c r="O441" i="7" s="1"/>
  <c r="K441" i="7"/>
  <c r="N440" i="7"/>
  <c r="O440" i="7" s="1"/>
  <c r="K440" i="7"/>
  <c r="N439" i="7"/>
  <c r="O439" i="7" s="1"/>
  <c r="K439" i="7"/>
  <c r="N438" i="7"/>
  <c r="O438" i="7" s="1"/>
  <c r="K438" i="7"/>
  <c r="N437" i="7"/>
  <c r="O437" i="7" s="1"/>
  <c r="K437" i="7"/>
  <c r="N436" i="7"/>
  <c r="O436" i="7" s="1"/>
  <c r="K436" i="7"/>
  <c r="N435" i="7"/>
  <c r="O435" i="7" s="1"/>
  <c r="K435" i="7"/>
  <c r="N434" i="7"/>
  <c r="O434" i="7" s="1"/>
  <c r="K434" i="7"/>
  <c r="N433" i="7"/>
  <c r="O433" i="7" s="1"/>
  <c r="K433" i="7"/>
  <c r="N432" i="7"/>
  <c r="O432" i="7" s="1"/>
  <c r="K432" i="7"/>
  <c r="N431" i="7"/>
  <c r="O431" i="7" s="1"/>
  <c r="K431" i="7"/>
  <c r="N430" i="7"/>
  <c r="O430" i="7" s="1"/>
  <c r="K430" i="7"/>
  <c r="N429" i="7"/>
  <c r="O429" i="7" s="1"/>
  <c r="K429" i="7"/>
  <c r="N428" i="7"/>
  <c r="O428" i="7" s="1"/>
  <c r="K428" i="7"/>
  <c r="N427" i="7"/>
  <c r="O427" i="7" s="1"/>
  <c r="K427" i="7"/>
  <c r="N426" i="7"/>
  <c r="O426" i="7" s="1"/>
  <c r="K426" i="7"/>
  <c r="N425" i="7"/>
  <c r="O425" i="7" s="1"/>
  <c r="K425" i="7"/>
  <c r="N424" i="7"/>
  <c r="O424" i="7" s="1"/>
  <c r="K424" i="7"/>
  <c r="N423" i="7"/>
  <c r="O423" i="7" s="1"/>
  <c r="K423" i="7"/>
  <c r="N422" i="7"/>
  <c r="O422" i="7" s="1"/>
  <c r="K422" i="7"/>
  <c r="N421" i="7"/>
  <c r="O421" i="7" s="1"/>
  <c r="K421" i="7"/>
  <c r="N420" i="7"/>
  <c r="O420" i="7" s="1"/>
  <c r="K420" i="7"/>
  <c r="N419" i="7"/>
  <c r="O419" i="7" s="1"/>
  <c r="K419" i="7"/>
  <c r="N418" i="7"/>
  <c r="O418" i="7" s="1"/>
  <c r="K418" i="7"/>
  <c r="N417" i="7"/>
  <c r="O417" i="7" s="1"/>
  <c r="K417" i="7"/>
  <c r="N416" i="7"/>
  <c r="O416" i="7" s="1"/>
  <c r="K416" i="7"/>
  <c r="N415" i="7"/>
  <c r="O415" i="7" s="1"/>
  <c r="K415" i="7"/>
  <c r="N414" i="7"/>
  <c r="O414" i="7" s="1"/>
  <c r="K414" i="7"/>
  <c r="N413" i="7"/>
  <c r="O413" i="7" s="1"/>
  <c r="K413" i="7"/>
  <c r="N412" i="7"/>
  <c r="O412" i="7" s="1"/>
  <c r="K412" i="7"/>
  <c r="K45" i="7"/>
  <c r="N45" i="7" s="1"/>
  <c r="K257" i="7"/>
  <c r="N257" i="7" s="1"/>
  <c r="K40" i="7"/>
  <c r="N40" i="7" s="1"/>
  <c r="K256" i="7"/>
  <c r="N256" i="7" s="1"/>
  <c r="K255" i="7"/>
  <c r="N255" i="7" s="1"/>
  <c r="K240" i="7"/>
  <c r="N240" i="7" s="1"/>
  <c r="K146" i="7"/>
  <c r="N146" i="7" s="1"/>
  <c r="O146" i="7" s="1"/>
  <c r="K147" i="7"/>
  <c r="N147" i="7" s="1"/>
  <c r="O147" i="7" s="1"/>
  <c r="K148" i="7"/>
  <c r="N148" i="7" s="1"/>
  <c r="O148" i="7" s="1"/>
  <c r="K149" i="7"/>
  <c r="N149" i="7" s="1"/>
  <c r="O149" i="7" s="1"/>
  <c r="K150" i="7"/>
  <c r="N150" i="7" s="1"/>
  <c r="O150" i="7" s="1"/>
  <c r="K151" i="7"/>
  <c r="N151" i="7" s="1"/>
  <c r="O151" i="7" s="1"/>
  <c r="K152" i="7"/>
  <c r="N152" i="7" s="1"/>
  <c r="O152" i="7" s="1"/>
  <c r="K153" i="7"/>
  <c r="N153" i="7" s="1"/>
  <c r="O153" i="7" s="1"/>
  <c r="K154" i="7"/>
  <c r="N154" i="7" s="1"/>
  <c r="O154" i="7" s="1"/>
  <c r="K155" i="7"/>
  <c r="N155" i="7" s="1"/>
  <c r="O155" i="7" s="1"/>
  <c r="K156" i="7"/>
  <c r="N156" i="7" s="1"/>
  <c r="O156" i="7" s="1"/>
  <c r="K157" i="7"/>
  <c r="N157" i="7" s="1"/>
  <c r="O157" i="7" s="1"/>
  <c r="K158" i="7"/>
  <c r="N158" i="7" s="1"/>
  <c r="O158" i="7" s="1"/>
  <c r="K159" i="7"/>
  <c r="N159" i="7" s="1"/>
  <c r="O159" i="7" s="1"/>
  <c r="K160" i="7"/>
  <c r="N160" i="7" s="1"/>
  <c r="O160" i="7" s="1"/>
  <c r="K375" i="7"/>
  <c r="N375" i="7" s="1"/>
  <c r="O375" i="7" s="1"/>
  <c r="K161" i="7"/>
  <c r="N161" i="7" s="1"/>
  <c r="O161" i="7" s="1"/>
  <c r="K162" i="7"/>
  <c r="N162" i="7" s="1"/>
  <c r="O162" i="7" s="1"/>
  <c r="K163" i="7"/>
  <c r="N163" i="7" s="1"/>
  <c r="O163" i="7" s="1"/>
  <c r="K376" i="7"/>
  <c r="N376" i="7" s="1"/>
  <c r="O376" i="7" s="1"/>
  <c r="K164" i="7"/>
  <c r="N164" i="7" s="1"/>
  <c r="O164" i="7" s="1"/>
  <c r="K165" i="7"/>
  <c r="N165" i="7" s="1"/>
  <c r="O165" i="7" s="1"/>
  <c r="K377" i="7"/>
  <c r="N377" i="7" s="1"/>
  <c r="O377" i="7" s="1"/>
  <c r="K378" i="7"/>
  <c r="N378" i="7" s="1"/>
  <c r="O378" i="7" s="1"/>
  <c r="K166" i="7"/>
  <c r="N166" i="7" s="1"/>
  <c r="O166" i="7" s="1"/>
  <c r="K167" i="7"/>
  <c r="N167" i="7" s="1"/>
  <c r="O167" i="7" s="1"/>
  <c r="K168" i="7"/>
  <c r="N168" i="7" s="1"/>
  <c r="O168" i="7" s="1"/>
  <c r="K169" i="7"/>
  <c r="N169" i="7" s="1"/>
  <c r="O169" i="7" s="1"/>
  <c r="K170" i="7"/>
  <c r="N170" i="7" s="1"/>
  <c r="O170" i="7" s="1"/>
  <c r="K171" i="7"/>
  <c r="N171" i="7" s="1"/>
  <c r="O171" i="7" s="1"/>
  <c r="K172" i="7"/>
  <c r="N172" i="7" s="1"/>
  <c r="O172" i="7" s="1"/>
  <c r="K173" i="7"/>
  <c r="N173" i="7" s="1"/>
  <c r="O173" i="7" s="1"/>
  <c r="K174" i="7"/>
  <c r="N174" i="7" s="1"/>
  <c r="O174" i="7" s="1"/>
  <c r="K175" i="7"/>
  <c r="N175" i="7" s="1"/>
  <c r="O175" i="7" s="1"/>
  <c r="K176" i="7"/>
  <c r="N176" i="7" s="1"/>
  <c r="O176" i="7" s="1"/>
  <c r="K177" i="7"/>
  <c r="N177" i="7" s="1"/>
  <c r="O177" i="7" s="1"/>
  <c r="K178" i="7"/>
  <c r="N178" i="7" s="1"/>
  <c r="O178" i="7" s="1"/>
  <c r="K179" i="7"/>
  <c r="N179" i="7" s="1"/>
  <c r="O179" i="7" s="1"/>
  <c r="K180" i="7"/>
  <c r="N180" i="7" s="1"/>
  <c r="O180" i="7" s="1"/>
  <c r="K379" i="7"/>
  <c r="N379" i="7" s="1"/>
  <c r="O379" i="7" s="1"/>
  <c r="K181" i="7"/>
  <c r="N181" i="7" s="1"/>
  <c r="O181" i="7" s="1"/>
  <c r="K182" i="7"/>
  <c r="N182" i="7" s="1"/>
  <c r="O182" i="7" s="1"/>
  <c r="K380" i="7"/>
  <c r="N380" i="7" s="1"/>
  <c r="O380" i="7" s="1"/>
  <c r="K381" i="7"/>
  <c r="N381" i="7" s="1"/>
  <c r="O381" i="7" s="1"/>
  <c r="K183" i="7"/>
  <c r="N183" i="7" s="1"/>
  <c r="O183" i="7" s="1"/>
  <c r="K184" i="7"/>
  <c r="N184" i="7" s="1"/>
  <c r="O184" i="7" s="1"/>
  <c r="K185" i="7"/>
  <c r="N185" i="7" s="1"/>
  <c r="O185" i="7" s="1"/>
  <c r="K186" i="7"/>
  <c r="N186" i="7" s="1"/>
  <c r="O186" i="7" s="1"/>
  <c r="K187" i="7"/>
  <c r="N187" i="7" s="1"/>
  <c r="O187" i="7" s="1"/>
  <c r="K188" i="7"/>
  <c r="N188" i="7" s="1"/>
  <c r="O188" i="7" s="1"/>
  <c r="K189" i="7"/>
  <c r="N189" i="7" s="1"/>
  <c r="O189" i="7" s="1"/>
  <c r="K190" i="7"/>
  <c r="N190" i="7" s="1"/>
  <c r="O190" i="7" s="1"/>
  <c r="K191" i="7"/>
  <c r="N191" i="7" s="1"/>
  <c r="O191" i="7" s="1"/>
  <c r="K192" i="7"/>
  <c r="N192" i="7" s="1"/>
  <c r="O192" i="7" s="1"/>
  <c r="K193" i="7"/>
  <c r="N193" i="7" s="1"/>
  <c r="O193" i="7" s="1"/>
  <c r="K194" i="7"/>
  <c r="N194" i="7" s="1"/>
  <c r="O194" i="7" s="1"/>
  <c r="K382" i="7"/>
  <c r="N382" i="7" s="1"/>
  <c r="O382" i="7" s="1"/>
  <c r="K383" i="7"/>
  <c r="N383" i="7" s="1"/>
  <c r="O383" i="7" s="1"/>
  <c r="K384" i="7"/>
  <c r="N384" i="7" s="1"/>
  <c r="O384" i="7" s="1"/>
  <c r="K385" i="7"/>
  <c r="N385" i="7" s="1"/>
  <c r="O385" i="7" s="1"/>
  <c r="K195" i="7"/>
  <c r="N195" i="7" s="1"/>
  <c r="O195" i="7" s="1"/>
  <c r="K196" i="7"/>
  <c r="N196" i="7" s="1"/>
  <c r="O196" i="7" s="1"/>
  <c r="K197" i="7"/>
  <c r="N197" i="7" s="1"/>
  <c r="O197" i="7" s="1"/>
  <c r="K198" i="7"/>
  <c r="N198" i="7" s="1"/>
  <c r="O198" i="7" s="1"/>
  <c r="K199" i="7"/>
  <c r="N199" i="7" s="1"/>
  <c r="O199" i="7" s="1"/>
  <c r="K200" i="7"/>
  <c r="N200" i="7" s="1"/>
  <c r="O200" i="7" s="1"/>
  <c r="K201" i="7"/>
  <c r="N201" i="7" s="1"/>
  <c r="O201" i="7" s="1"/>
  <c r="K202" i="7"/>
  <c r="N202" i="7" s="1"/>
  <c r="O202" i="7" s="1"/>
  <c r="K203" i="7"/>
  <c r="N203" i="7" s="1"/>
  <c r="O203" i="7" s="1"/>
  <c r="K204" i="7"/>
  <c r="N204" i="7" s="1"/>
  <c r="O204" i="7" s="1"/>
  <c r="K205" i="7"/>
  <c r="N205" i="7" s="1"/>
  <c r="O205" i="7" s="1"/>
  <c r="K206" i="7"/>
  <c r="N206" i="7" s="1"/>
  <c r="O206" i="7" s="1"/>
  <c r="K207" i="7"/>
  <c r="N207" i="7" s="1"/>
  <c r="O207" i="7" s="1"/>
  <c r="K386" i="7"/>
  <c r="N386" i="7" s="1"/>
  <c r="O386" i="7" s="1"/>
  <c r="K387" i="7"/>
  <c r="N387" i="7" s="1"/>
  <c r="O387" i="7" s="1"/>
  <c r="K208" i="7"/>
  <c r="N208" i="7" s="1"/>
  <c r="O208" i="7" s="1"/>
  <c r="K6" i="7"/>
  <c r="N6" i="7" s="1"/>
  <c r="O6" i="7" s="1"/>
  <c r="K7" i="7"/>
  <c r="N7" i="7" s="1"/>
  <c r="O7" i="7" s="1"/>
  <c r="K8" i="7"/>
  <c r="N8" i="7" s="1"/>
  <c r="O8" i="7" s="1"/>
  <c r="K9" i="7"/>
  <c r="N9" i="7" s="1"/>
  <c r="O9" i="7" s="1"/>
  <c r="K10" i="7"/>
  <c r="N10" i="7" s="1"/>
  <c r="O10" i="7" s="1"/>
  <c r="K11" i="7"/>
  <c r="N11" i="7" s="1"/>
  <c r="O11" i="7" s="1"/>
  <c r="K12" i="7"/>
  <c r="N12" i="7" s="1"/>
  <c r="O12" i="7" s="1"/>
  <c r="K13" i="7"/>
  <c r="N13" i="7" s="1"/>
  <c r="O13" i="7" s="1"/>
  <c r="K14" i="7"/>
  <c r="N14" i="7" s="1"/>
  <c r="O14" i="7" s="1"/>
  <c r="K15" i="7"/>
  <c r="N15" i="7" s="1"/>
  <c r="O15" i="7" s="1"/>
  <c r="K16" i="7"/>
  <c r="N16" i="7" s="1"/>
  <c r="O16" i="7" s="1"/>
  <c r="K17" i="7"/>
  <c r="N17" i="7" s="1"/>
  <c r="O17" i="7" s="1"/>
  <c r="K18" i="7"/>
  <c r="N18" i="7" s="1"/>
  <c r="O18" i="7" s="1"/>
  <c r="K19" i="7"/>
  <c r="N19" i="7" s="1"/>
  <c r="O19" i="7" s="1"/>
  <c r="K209" i="7"/>
  <c r="N209" i="7" s="1"/>
  <c r="O209" i="7" s="1"/>
  <c r="K210" i="7"/>
  <c r="N210" i="7" s="1"/>
  <c r="O210" i="7" s="1"/>
  <c r="K20" i="7"/>
  <c r="N20" i="7" s="1"/>
  <c r="O20" i="7" s="1"/>
  <c r="K211" i="7"/>
  <c r="N211" i="7" s="1"/>
  <c r="O211" i="7" s="1"/>
  <c r="K388" i="7"/>
  <c r="N388" i="7" s="1"/>
  <c r="O388" i="7" s="1"/>
  <c r="K212" i="7"/>
  <c r="N212" i="7" s="1"/>
  <c r="O212" i="7" s="1"/>
  <c r="K389" i="7"/>
  <c r="N389" i="7" s="1"/>
  <c r="O389" i="7" s="1"/>
  <c r="K213" i="7"/>
  <c r="N213" i="7" s="1"/>
  <c r="O213" i="7" s="1"/>
  <c r="K214" i="7"/>
  <c r="N214" i="7" s="1"/>
  <c r="O214" i="7" s="1"/>
  <c r="K390" i="7"/>
  <c r="N390" i="7" s="1"/>
  <c r="O390" i="7" s="1"/>
  <c r="K391" i="7"/>
  <c r="N391" i="7" s="1"/>
  <c r="O391" i="7" s="1"/>
  <c r="K392" i="7"/>
  <c r="N392" i="7" s="1"/>
  <c r="O392" i="7" s="1"/>
  <c r="K393" i="7"/>
  <c r="N393" i="7" s="1"/>
  <c r="O393" i="7" s="1"/>
  <c r="K394" i="7"/>
  <c r="N394" i="7" s="1"/>
  <c r="O394" i="7" s="1"/>
  <c r="K215" i="7"/>
  <c r="N215" i="7" s="1"/>
  <c r="O215" i="7" s="1"/>
  <c r="K395" i="7"/>
  <c r="N395" i="7" s="1"/>
  <c r="O395" i="7" s="1"/>
  <c r="K396" i="7"/>
  <c r="N396" i="7" s="1"/>
  <c r="O396" i="7" s="1"/>
  <c r="K397" i="7"/>
  <c r="N397" i="7" s="1"/>
  <c r="O397" i="7" s="1"/>
  <c r="K398" i="7"/>
  <c r="N398" i="7" s="1"/>
  <c r="O398" i="7" s="1"/>
  <c r="K399" i="7"/>
  <c r="N399" i="7" s="1"/>
  <c r="O399" i="7" s="1"/>
  <c r="K400" i="7"/>
  <c r="N400" i="7" s="1"/>
  <c r="O400" i="7" s="1"/>
  <c r="K216" i="7"/>
  <c r="N216" i="7" s="1"/>
  <c r="O216" i="7" s="1"/>
  <c r="K217" i="7"/>
  <c r="N217" i="7" s="1"/>
  <c r="O217" i="7" s="1"/>
  <c r="K401" i="7"/>
  <c r="N401" i="7" s="1"/>
  <c r="O401" i="7" s="1"/>
  <c r="K402" i="7"/>
  <c r="N402" i="7" s="1"/>
  <c r="O402" i="7" s="1"/>
  <c r="K218" i="7"/>
  <c r="N218" i="7" s="1"/>
  <c r="O218" i="7" s="1"/>
  <c r="K219" i="7"/>
  <c r="N219" i="7" s="1"/>
  <c r="O219" i="7" s="1"/>
  <c r="K403" i="7"/>
  <c r="N403" i="7" s="1"/>
  <c r="O403" i="7" s="1"/>
  <c r="K404" i="7"/>
  <c r="N404" i="7" s="1"/>
  <c r="O404" i="7" s="1"/>
  <c r="K21" i="7"/>
  <c r="N21" i="7" s="1"/>
  <c r="O21" i="7" s="1"/>
  <c r="K220" i="7"/>
  <c r="N220" i="7" s="1"/>
  <c r="O220" i="7" s="1"/>
  <c r="K22" i="7"/>
  <c r="N22" i="7" s="1"/>
  <c r="O22" i="7" s="1"/>
  <c r="K23" i="7"/>
  <c r="N23" i="7" s="1"/>
  <c r="O23" i="7" s="1"/>
  <c r="K221" i="7"/>
  <c r="N221" i="7" s="1"/>
  <c r="O221" i="7" s="1"/>
  <c r="K222" i="7"/>
  <c r="N222" i="7" s="1"/>
  <c r="O222" i="7" s="1"/>
  <c r="K223" i="7"/>
  <c r="N223" i="7" s="1"/>
  <c r="O223" i="7" s="1"/>
  <c r="K224" i="7"/>
  <c r="N224" i="7" s="1"/>
  <c r="O224" i="7" s="1"/>
  <c r="K225" i="7"/>
  <c r="N225" i="7" s="1"/>
  <c r="O225" i="7" s="1"/>
  <c r="K405" i="7"/>
  <c r="N405" i="7" s="1"/>
  <c r="O405" i="7" s="1"/>
  <c r="K406" i="7"/>
  <c r="N406" i="7" s="1"/>
  <c r="O406" i="7" s="1"/>
  <c r="K407" i="7"/>
  <c r="N407" i="7" s="1"/>
  <c r="O407" i="7" s="1"/>
  <c r="K408" i="7"/>
  <c r="N408" i="7" s="1"/>
  <c r="O408" i="7" s="1"/>
  <c r="K409" i="7"/>
  <c r="N409" i="7" s="1"/>
  <c r="O409" i="7" s="1"/>
  <c r="K226" i="7"/>
  <c r="N226" i="7" s="1"/>
  <c r="O226" i="7" s="1"/>
  <c r="K227" i="7"/>
  <c r="N227" i="7" s="1"/>
  <c r="O227" i="7" s="1"/>
  <c r="K228" i="7"/>
  <c r="N228" i="7" s="1"/>
  <c r="O228" i="7" s="1"/>
  <c r="K229" i="7"/>
  <c r="N229" i="7" s="1"/>
  <c r="O229" i="7" s="1"/>
  <c r="K230" i="7"/>
  <c r="N230" i="7" s="1"/>
  <c r="O230" i="7" s="1"/>
  <c r="K231" i="7"/>
  <c r="N231" i="7" s="1"/>
  <c r="O231" i="7" s="1"/>
  <c r="K232" i="7"/>
  <c r="N232" i="7" s="1"/>
  <c r="O232" i="7" s="1"/>
  <c r="K233" i="7"/>
  <c r="N233" i="7" s="1"/>
  <c r="O233" i="7" s="1"/>
  <c r="K410" i="7"/>
  <c r="N410" i="7" s="1"/>
  <c r="O410" i="7" s="1"/>
  <c r="K411" i="7"/>
  <c r="N411" i="7" s="1"/>
  <c r="O411" i="7" s="1"/>
  <c r="K24" i="7"/>
  <c r="N24" i="7" s="1"/>
  <c r="O24" i="7" s="1"/>
  <c r="K234" i="7"/>
  <c r="N234" i="7" s="1"/>
  <c r="O234" i="7" s="1"/>
  <c r="K235" i="7"/>
  <c r="N235" i="7" s="1"/>
  <c r="O235" i="7" s="1"/>
  <c r="K236" i="7"/>
  <c r="N236" i="7" s="1"/>
  <c r="O236" i="7" s="1"/>
  <c r="K237" i="7"/>
  <c r="N237" i="7" s="1"/>
  <c r="O237" i="7" s="1"/>
  <c r="K238" i="7"/>
  <c r="N238" i="7" s="1"/>
  <c r="O238" i="7" s="1"/>
  <c r="K239" i="7"/>
  <c r="N239" i="7" s="1"/>
  <c r="O239" i="7" s="1"/>
  <c r="K374" i="7"/>
  <c r="N374" i="7" s="1"/>
  <c r="O374" i="7" s="1"/>
  <c r="K312" i="7"/>
  <c r="N312" i="7" s="1"/>
  <c r="K313" i="7"/>
  <c r="N313" i="7" s="1"/>
  <c r="K314" i="7"/>
  <c r="N314" i="7" s="1"/>
  <c r="K94" i="7"/>
  <c r="N94" i="7" s="1"/>
  <c r="K315" i="7"/>
  <c r="N315" i="7" s="1"/>
  <c r="K95" i="7"/>
  <c r="N95" i="7" s="1"/>
  <c r="K339" i="7" l="1"/>
  <c r="N339" i="7" s="1"/>
  <c r="O339" i="7" s="1"/>
  <c r="K324" i="7"/>
  <c r="N324" i="7" s="1"/>
  <c r="O324" i="7" s="1"/>
  <c r="K302" i="7"/>
  <c r="N302" i="7" s="1"/>
  <c r="O302" i="7" s="1"/>
  <c r="K266" i="7"/>
  <c r="N266" i="7" s="1"/>
  <c r="O266" i="7" s="1"/>
  <c r="K290" i="7"/>
  <c r="N290" i="7" s="1"/>
  <c r="O290" i="7" s="1"/>
  <c r="K337" i="7"/>
  <c r="N337" i="7" s="1"/>
  <c r="O337" i="7" s="1"/>
  <c r="K330" i="7"/>
  <c r="N330" i="7" s="1"/>
  <c r="O330" i="7" s="1"/>
  <c r="K276" i="7"/>
  <c r="N276" i="7" s="1"/>
  <c r="O276" i="7" s="1"/>
  <c r="K246" i="7"/>
  <c r="N246" i="7" s="1"/>
  <c r="O246" i="7" s="1"/>
  <c r="K245" i="7"/>
  <c r="N245" i="7" s="1"/>
  <c r="O245" i="7" s="1"/>
  <c r="K269" i="7"/>
  <c r="N269" i="7" s="1"/>
  <c r="O269" i="7" s="1"/>
  <c r="K365" i="7"/>
  <c r="N365" i="7" s="1"/>
  <c r="O365" i="7" s="1"/>
  <c r="K361" i="7"/>
  <c r="N361" i="7" s="1"/>
  <c r="O361" i="7" s="1"/>
  <c r="K371" i="7"/>
  <c r="N371" i="7" s="1"/>
  <c r="O371" i="7" s="1"/>
  <c r="K311" i="7"/>
  <c r="N311" i="7" s="1"/>
  <c r="O311" i="7" s="1"/>
  <c r="K280" i="7"/>
  <c r="N280" i="7" s="1"/>
  <c r="O280" i="7" s="1"/>
  <c r="K259" i="7"/>
  <c r="N259" i="7" s="1"/>
  <c r="O259" i="7" s="1"/>
  <c r="K354" i="7"/>
  <c r="N354" i="7" s="1"/>
  <c r="O354" i="7" s="1"/>
  <c r="K254" i="7"/>
  <c r="N254" i="7" s="1"/>
  <c r="O254" i="7" s="1"/>
  <c r="K316" i="7"/>
  <c r="N316" i="7" s="1"/>
  <c r="O316" i="7" s="1"/>
  <c r="K343" i="7"/>
  <c r="N343" i="7" s="1"/>
  <c r="O343" i="7" s="1"/>
  <c r="K140" i="7"/>
  <c r="N140" i="7" s="1"/>
  <c r="O140" i="7" s="1"/>
  <c r="K132" i="7"/>
  <c r="N132" i="7" s="1"/>
  <c r="O132" i="7" s="1"/>
  <c r="K78" i="7"/>
  <c r="N78" i="7" s="1"/>
  <c r="O78" i="7" s="1"/>
  <c r="K69" i="7"/>
  <c r="N69" i="7" s="1"/>
  <c r="O69" i="7" s="1"/>
  <c r="K87" i="7"/>
  <c r="N87" i="7" s="1"/>
  <c r="O87" i="7" s="1"/>
  <c r="K128" i="7"/>
  <c r="N128" i="7" s="1"/>
  <c r="O128" i="7" s="1"/>
  <c r="K110" i="7"/>
  <c r="N110" i="7" s="1"/>
  <c r="O110" i="7" s="1"/>
  <c r="K136" i="7"/>
  <c r="N136" i="7" s="1"/>
  <c r="O136" i="7" s="1"/>
  <c r="K253" i="7"/>
  <c r="N253" i="7" s="1"/>
  <c r="O253" i="7" s="1"/>
  <c r="K39" i="7"/>
  <c r="N39" i="7" s="1"/>
  <c r="O39" i="7" s="1"/>
  <c r="K104" i="7"/>
  <c r="N104" i="7" s="1"/>
  <c r="O104" i="7" s="1"/>
  <c r="K347" i="7"/>
  <c r="N347" i="7" s="1"/>
  <c r="O347" i="7" s="1"/>
  <c r="K3" i="7"/>
  <c r="N3" i="7" s="1"/>
  <c r="O3" i="7" s="1"/>
  <c r="K268" i="7"/>
  <c r="N268" i="7" s="1"/>
  <c r="O268" i="7" s="1"/>
  <c r="K77" i="7"/>
  <c r="N77" i="7" s="1"/>
  <c r="O77" i="7" s="1"/>
  <c r="K68" i="7"/>
  <c r="N68" i="7" s="1"/>
  <c r="O68" i="7" s="1"/>
  <c r="K27" i="7"/>
  <c r="N27" i="7" s="1"/>
  <c r="O27" i="7" s="1"/>
  <c r="K297" i="7"/>
  <c r="N297" i="7" s="1"/>
  <c r="O297" i="7" s="1"/>
  <c r="K323" i="7"/>
  <c r="N323" i="7" s="1"/>
  <c r="O323" i="7" s="1"/>
  <c r="K296" i="7"/>
  <c r="N296" i="7" s="1"/>
  <c r="O296" i="7" s="1"/>
  <c r="K38" i="7"/>
  <c r="N38" i="7" s="1"/>
  <c r="O38" i="7" s="1"/>
  <c r="K364" i="7"/>
  <c r="N364" i="7" s="1"/>
  <c r="O364" i="7" s="1"/>
  <c r="K322" i="7"/>
  <c r="N322" i="7" s="1"/>
  <c r="O322" i="7" s="1"/>
  <c r="K37" i="7"/>
  <c r="N37" i="7" s="1"/>
  <c r="O37" i="7" s="1"/>
  <c r="K351" i="7"/>
  <c r="N351" i="7" s="1"/>
  <c r="O351" i="7" s="1"/>
  <c r="K336" i="7"/>
  <c r="N336" i="7" s="1"/>
  <c r="O336" i="7" s="1"/>
  <c r="K329" i="7"/>
  <c r="N329" i="7" s="1"/>
  <c r="O329" i="7" s="1"/>
  <c r="K328" i="7"/>
  <c r="N328" i="7" s="1"/>
  <c r="O328" i="7" s="1"/>
  <c r="K295" i="7"/>
  <c r="N295" i="7" s="1"/>
  <c r="O295" i="7" s="1"/>
  <c r="K294" i="7"/>
  <c r="N294" i="7" s="1"/>
  <c r="O294" i="7" s="1"/>
  <c r="K275" i="7"/>
  <c r="N275" i="7" s="1"/>
  <c r="O275" i="7" s="1"/>
  <c r="K267" i="7"/>
  <c r="N267" i="7" s="1"/>
  <c r="O267" i="7" s="1"/>
  <c r="K244" i="7"/>
  <c r="N244" i="7" s="1"/>
  <c r="O244" i="7" s="1"/>
  <c r="K243" i="7"/>
  <c r="N243" i="7" s="1"/>
  <c r="O243" i="7" s="1"/>
  <c r="K349" i="7"/>
  <c r="N349" i="7" s="1"/>
  <c r="O349" i="7" s="1"/>
  <c r="K360" i="7"/>
  <c r="N360" i="7" s="1"/>
  <c r="O360" i="7" s="1"/>
  <c r="K357" i="7"/>
  <c r="N357" i="7" s="1"/>
  <c r="O357" i="7" s="1"/>
  <c r="K342" i="7"/>
  <c r="N342" i="7" s="1"/>
  <c r="O342" i="7" s="1"/>
  <c r="K369" i="7"/>
  <c r="N369" i="7" s="1"/>
  <c r="O369" i="7" s="1"/>
  <c r="K363" i="7"/>
  <c r="N363" i="7" s="1"/>
  <c r="O363" i="7" s="1"/>
  <c r="K341" i="7"/>
  <c r="N341" i="7" s="1"/>
  <c r="O341" i="7" s="1"/>
  <c r="K345" i="7"/>
  <c r="N345" i="7" s="1"/>
  <c r="O345" i="7" s="1"/>
  <c r="K356" i="7"/>
  <c r="N356" i="7" s="1"/>
  <c r="O356" i="7" s="1"/>
  <c r="K335" i="7"/>
  <c r="N335" i="7" s="1"/>
  <c r="O335" i="7" s="1"/>
  <c r="K283" i="7"/>
  <c r="N283" i="7" s="1"/>
  <c r="O283" i="7" s="1"/>
  <c r="K265" i="7"/>
  <c r="N265" i="7" s="1"/>
  <c r="O265" i="7" s="1"/>
  <c r="K127" i="7"/>
  <c r="N127" i="7" s="1"/>
  <c r="O127" i="7" s="1"/>
  <c r="K139" i="7"/>
  <c r="N139" i="7" s="1"/>
  <c r="O139" i="7" s="1"/>
  <c r="K135" i="7"/>
  <c r="N135" i="7" s="1"/>
  <c r="O135" i="7" s="1"/>
  <c r="K114" i="7"/>
  <c r="N114" i="7" s="1"/>
  <c r="O114" i="7" s="1"/>
  <c r="K76" i="7"/>
  <c r="N76" i="7" s="1"/>
  <c r="O76" i="7" s="1"/>
  <c r="K75" i="7"/>
  <c r="N75" i="7" s="1"/>
  <c r="O75" i="7" s="1"/>
  <c r="K74" i="7"/>
  <c r="N74" i="7" s="1"/>
  <c r="O74" i="7" s="1"/>
  <c r="K67" i="7"/>
  <c r="N67" i="7" s="1"/>
  <c r="O67" i="7" s="1"/>
  <c r="K66" i="7"/>
  <c r="N66" i="7" s="1"/>
  <c r="O66" i="7" s="1"/>
  <c r="K65" i="7"/>
  <c r="N65" i="7" s="1"/>
  <c r="O65" i="7" s="1"/>
  <c r="K57" i="7"/>
  <c r="N57" i="7" s="1"/>
  <c r="O57" i="7" s="1"/>
  <c r="K56" i="7"/>
  <c r="N56" i="7" s="1"/>
  <c r="O56" i="7" s="1"/>
  <c r="K44" i="7"/>
  <c r="N44" i="7" s="1"/>
  <c r="O44" i="7" s="1"/>
  <c r="K26" i="7"/>
  <c r="N26" i="7" s="1"/>
  <c r="O26" i="7" s="1"/>
  <c r="K143" i="7"/>
  <c r="N143" i="7" s="1"/>
  <c r="O143" i="7" s="1"/>
  <c r="K93" i="7"/>
  <c r="N93" i="7" s="1"/>
  <c r="O93" i="7" s="1"/>
  <c r="K80" i="7"/>
  <c r="N80" i="7" s="1"/>
  <c r="O80" i="7" s="1"/>
  <c r="K36" i="7"/>
  <c r="N36" i="7" s="1"/>
  <c r="O36" i="7" s="1"/>
  <c r="K86" i="7"/>
  <c r="N86" i="7" s="1"/>
  <c r="O86" i="7" s="1"/>
  <c r="K103" i="7"/>
  <c r="N103" i="7" s="1"/>
  <c r="O103" i="7" s="1"/>
  <c r="K126" i="7"/>
  <c r="N126" i="7" s="1"/>
  <c r="O126" i="7" s="1"/>
  <c r="K35" i="7"/>
  <c r="N35" i="7" s="1"/>
  <c r="O35" i="7" s="1"/>
  <c r="K108" i="7"/>
  <c r="N108" i="7" s="1"/>
  <c r="O108" i="7" s="1"/>
  <c r="K90" i="7"/>
  <c r="N90" i="7" s="1"/>
  <c r="O90" i="7" s="1"/>
  <c r="K113" i="7"/>
  <c r="N113" i="7" s="1"/>
  <c r="O113" i="7" s="1"/>
  <c r="K83" i="7"/>
  <c r="N83" i="7" s="1"/>
  <c r="O83" i="7" s="1"/>
  <c r="K116" i="7"/>
  <c r="N116" i="7" s="1"/>
  <c r="O116" i="7" s="1"/>
  <c r="K131" i="7"/>
  <c r="N131" i="7" s="1"/>
  <c r="O131" i="7" s="1"/>
  <c r="K91" i="7"/>
  <c r="N91" i="7" s="1"/>
  <c r="O91" i="7" s="1"/>
  <c r="K43" i="7"/>
  <c r="N43" i="7" s="1"/>
  <c r="O43" i="7" s="1"/>
  <c r="K106" i="7"/>
  <c r="N106" i="7" s="1"/>
  <c r="O106" i="7" s="1"/>
  <c r="K99" i="7"/>
  <c r="N99" i="7" s="1"/>
  <c r="O99" i="7" s="1"/>
  <c r="K5" i="7"/>
  <c r="N5" i="7" s="1"/>
  <c r="O5" i="7" s="1"/>
  <c r="K368" i="7"/>
  <c r="N368" i="7" s="1"/>
  <c r="O368" i="7" s="1"/>
  <c r="K310" i="7"/>
  <c r="N310" i="7" s="1"/>
  <c r="O310" i="7" s="1"/>
  <c r="K258" i="7"/>
  <c r="N258" i="7" s="1"/>
  <c r="O258" i="7" s="1"/>
  <c r="K348" i="7"/>
  <c r="N348" i="7" s="1"/>
  <c r="O348" i="7" s="1"/>
  <c r="K334" i="7"/>
  <c r="N334" i="7" s="1"/>
  <c r="O334" i="7" s="1"/>
  <c r="K327" i="7"/>
  <c r="N327" i="7" s="1"/>
  <c r="O327" i="7" s="1"/>
  <c r="K326" i="7"/>
  <c r="N326" i="7" s="1"/>
  <c r="O326" i="7" s="1"/>
  <c r="K321" i="7"/>
  <c r="N321" i="7" s="1"/>
  <c r="O321" i="7" s="1"/>
  <c r="K320" i="7"/>
  <c r="N320" i="7" s="1"/>
  <c r="O320" i="7" s="1"/>
  <c r="K370" i="7"/>
  <c r="N370" i="7" s="1"/>
  <c r="O370" i="7" s="1"/>
  <c r="K308" i="7"/>
  <c r="N308" i="7" s="1"/>
  <c r="O308" i="7" s="1"/>
  <c r="K306" i="7"/>
  <c r="N306" i="7" s="1"/>
  <c r="O306" i="7" s="1"/>
  <c r="K293" i="7"/>
  <c r="N293" i="7" s="1"/>
  <c r="O293" i="7" s="1"/>
  <c r="K279" i="7"/>
  <c r="N279" i="7" s="1"/>
  <c r="O279" i="7" s="1"/>
  <c r="K242" i="7"/>
  <c r="N242" i="7" s="1"/>
  <c r="O242" i="7" s="1"/>
  <c r="K241" i="7"/>
  <c r="N241" i="7" s="1"/>
  <c r="O241" i="7" s="1"/>
  <c r="K359" i="7"/>
  <c r="N359" i="7" s="1"/>
  <c r="O359" i="7" s="1"/>
  <c r="K278" i="7"/>
  <c r="N278" i="7" s="1"/>
  <c r="O278" i="7" s="1"/>
  <c r="K274" i="7"/>
  <c r="N274" i="7" s="1"/>
  <c r="O274" i="7" s="1"/>
  <c r="K260" i="7"/>
  <c r="N260" i="7" s="1"/>
  <c r="O260" i="7" s="1"/>
  <c r="K252" i="7"/>
  <c r="N252" i="7" s="1"/>
  <c r="O252" i="7" s="1"/>
  <c r="K34" i="7"/>
  <c r="N34" i="7" s="1"/>
  <c r="O34" i="7" s="1"/>
  <c r="K362" i="7"/>
  <c r="N362" i="7" s="1"/>
  <c r="O362" i="7" s="1"/>
  <c r="K333" i="7"/>
  <c r="N333" i="7" s="1"/>
  <c r="O333" i="7" s="1"/>
  <c r="K318" i="7"/>
  <c r="N318" i="7" s="1"/>
  <c r="O318" i="7" s="1"/>
  <c r="K301" i="7"/>
  <c r="N301" i="7" s="1"/>
  <c r="O301" i="7" s="1"/>
  <c r="K300" i="7"/>
  <c r="N300" i="7" s="1"/>
  <c r="O300" i="7" s="1"/>
  <c r="K273" i="7"/>
  <c r="N273" i="7" s="1"/>
  <c r="O273" i="7" s="1"/>
  <c r="K272" i="7"/>
  <c r="N272" i="7" s="1"/>
  <c r="O272" i="7" s="1"/>
  <c r="K264" i="7"/>
  <c r="N264" i="7" s="1"/>
  <c r="O264" i="7" s="1"/>
  <c r="K263" i="7"/>
  <c r="N263" i="7" s="1"/>
  <c r="O263" i="7" s="1"/>
  <c r="K138" i="7"/>
  <c r="N138" i="7" s="1"/>
  <c r="O138" i="7" s="1"/>
  <c r="K125" i="7"/>
  <c r="N125" i="7" s="1"/>
  <c r="O125" i="7" s="1"/>
  <c r="K124" i="7"/>
  <c r="N124" i="7" s="1"/>
  <c r="O124" i="7" s="1"/>
  <c r="K109" i="7"/>
  <c r="N109" i="7" s="1"/>
  <c r="O109" i="7" s="1"/>
  <c r="K142" i="7"/>
  <c r="N142" i="7" s="1"/>
  <c r="O142" i="7" s="1"/>
  <c r="K92" i="7"/>
  <c r="N92" i="7" s="1"/>
  <c r="O92" i="7" s="1"/>
  <c r="K79" i="7"/>
  <c r="N79" i="7" s="1"/>
  <c r="O79" i="7" s="1"/>
  <c r="K73" i="7"/>
  <c r="N73" i="7" s="1"/>
  <c r="O73" i="7" s="1"/>
  <c r="K72" i="7"/>
  <c r="N72" i="7" s="1"/>
  <c r="O72" i="7" s="1"/>
  <c r="K64" i="7"/>
  <c r="N64" i="7" s="1"/>
  <c r="O64" i="7" s="1"/>
  <c r="K63" i="7"/>
  <c r="N63" i="7" s="1"/>
  <c r="O63" i="7" s="1"/>
  <c r="K62" i="7"/>
  <c r="N62" i="7" s="1"/>
  <c r="O62" i="7" s="1"/>
  <c r="K55" i="7"/>
  <c r="N55" i="7" s="1"/>
  <c r="O55" i="7" s="1"/>
  <c r="K54" i="7"/>
  <c r="N54" i="7" s="1"/>
  <c r="O54" i="7" s="1"/>
  <c r="K42" i="7"/>
  <c r="N42" i="7" s="1"/>
  <c r="O42" i="7" s="1"/>
  <c r="K25" i="7"/>
  <c r="N25" i="7" s="1"/>
  <c r="O25" i="7" s="1"/>
  <c r="K98" i="7"/>
  <c r="N98" i="7" s="1"/>
  <c r="O98" i="7" s="1"/>
  <c r="K123" i="7"/>
  <c r="N123" i="7" s="1"/>
  <c r="O123" i="7" s="1"/>
  <c r="K122" i="7"/>
  <c r="N122" i="7" s="1"/>
  <c r="O122" i="7" s="1"/>
  <c r="K107" i="7"/>
  <c r="N107" i="7" s="1"/>
  <c r="O107" i="7" s="1"/>
  <c r="K82" i="7"/>
  <c r="N82" i="7" s="1"/>
  <c r="O82" i="7" s="1"/>
  <c r="K71" i="7"/>
  <c r="N71" i="7" s="1"/>
  <c r="O71" i="7" s="1"/>
  <c r="K70" i="7"/>
  <c r="N70" i="7" s="1"/>
  <c r="O70" i="7" s="1"/>
  <c r="K47" i="7"/>
  <c r="N47" i="7" s="1"/>
  <c r="O47" i="7" s="1"/>
  <c r="K41" i="7"/>
  <c r="N41" i="7" s="1"/>
  <c r="O41" i="7" s="1"/>
  <c r="K33" i="7"/>
  <c r="N33" i="7" s="1"/>
  <c r="O33" i="7" s="1"/>
  <c r="K121" i="7"/>
  <c r="N121" i="7" s="1"/>
  <c r="O121" i="7" s="1"/>
  <c r="K317" i="7"/>
  <c r="N317" i="7" s="1"/>
  <c r="O317" i="7" s="1"/>
  <c r="K287" i="7"/>
  <c r="N287" i="7" s="1"/>
  <c r="O287" i="7" s="1"/>
  <c r="K346" i="7"/>
  <c r="N346" i="7" s="1"/>
  <c r="O346" i="7" s="1"/>
  <c r="K120" i="7"/>
  <c r="N120" i="7" s="1"/>
  <c r="O120" i="7" s="1"/>
  <c r="K85" i="7"/>
  <c r="N85" i="7" s="1"/>
  <c r="O85" i="7" s="1"/>
  <c r="K61" i="7"/>
  <c r="N61" i="7" s="1"/>
  <c r="O61" i="7" s="1"/>
  <c r="K58" i="7"/>
  <c r="N58" i="7" s="1"/>
  <c r="O58" i="7" s="1"/>
  <c r="K46" i="7"/>
  <c r="N46" i="7" s="1"/>
  <c r="O46" i="7" s="1"/>
  <c r="K60" i="7"/>
  <c r="N60" i="7" s="1"/>
  <c r="O60" i="7" s="1"/>
  <c r="K251" i="7"/>
  <c r="N251" i="7" s="1"/>
  <c r="O251" i="7" s="1"/>
  <c r="K115" i="7"/>
  <c r="N115" i="7" s="1"/>
  <c r="O115" i="7" s="1"/>
  <c r="K53" i="7"/>
  <c r="N53" i="7" s="1"/>
  <c r="O53" i="7" s="1"/>
  <c r="K52" i="7"/>
  <c r="N52" i="7" s="1"/>
  <c r="O52" i="7" s="1"/>
  <c r="K84" i="7"/>
  <c r="N84" i="7" s="1"/>
  <c r="O84" i="7" s="1"/>
  <c r="K4" i="7"/>
  <c r="N4" i="7" s="1"/>
  <c r="O4" i="7" s="1"/>
  <c r="K112" i="7"/>
  <c r="N112" i="7" s="1"/>
  <c r="O112" i="7" s="1"/>
  <c r="K353" i="7"/>
  <c r="N353" i="7" s="1"/>
  <c r="O353" i="7" s="1"/>
  <c r="K352" i="7"/>
  <c r="N352" i="7" s="1"/>
  <c r="O352" i="7" s="1"/>
  <c r="K119" i="7"/>
  <c r="N119" i="7" s="1"/>
  <c r="O119" i="7" s="1"/>
  <c r="K118" i="7"/>
  <c r="N118" i="7" s="1"/>
  <c r="O118" i="7" s="1"/>
  <c r="K32" i="7"/>
  <c r="N32" i="7" s="1"/>
  <c r="O32" i="7" s="1"/>
  <c r="K31" i="7"/>
  <c r="N31" i="7" s="1"/>
  <c r="O31" i="7" s="1"/>
  <c r="K30" i="7"/>
  <c r="N30" i="7" s="1"/>
  <c r="O30" i="7" s="1"/>
  <c r="K29" i="7"/>
  <c r="N29" i="7" s="1"/>
  <c r="O29" i="7" s="1"/>
  <c r="K250" i="7"/>
  <c r="N250" i="7" s="1"/>
  <c r="O250" i="7" s="1"/>
  <c r="K249" i="7"/>
  <c r="N249" i="7" s="1"/>
  <c r="O249" i="7" s="1"/>
  <c r="K248" i="7"/>
  <c r="N248" i="7" s="1"/>
  <c r="O248" i="7" s="1"/>
  <c r="K247" i="7"/>
  <c r="N247" i="7" s="1"/>
  <c r="O247" i="7" s="1"/>
  <c r="K28" i="7"/>
  <c r="N28" i="7" s="1"/>
  <c r="O28" i="7" s="1"/>
  <c r="K134" i="7"/>
  <c r="N134" i="7" s="1"/>
  <c r="O134" i="7" s="1"/>
  <c r="K133" i="7"/>
  <c r="N133" i="7" s="1"/>
  <c r="O133" i="7" s="1"/>
  <c r="K281" i="7"/>
  <c r="N281" i="7" s="1"/>
  <c r="O281" i="7" s="1"/>
  <c r="K145" i="7"/>
  <c r="N145" i="7" s="1"/>
  <c r="O145" i="7" s="1"/>
  <c r="K144" i="7"/>
  <c r="N144" i="7" s="1"/>
  <c r="O144" i="7" s="1"/>
  <c r="K305" i="7"/>
  <c r="N305" i="7" s="1"/>
  <c r="O305" i="7" s="1"/>
  <c r="K304" i="7"/>
  <c r="N304" i="7" s="1"/>
  <c r="O304" i="7" s="1"/>
  <c r="K303" i="7"/>
  <c r="N303" i="7" s="1"/>
  <c r="O303" i="7" s="1"/>
  <c r="K89" i="7"/>
  <c r="N89" i="7" s="1"/>
  <c r="O89" i="7" s="1"/>
  <c r="K88" i="7"/>
  <c r="N88" i="7" s="1"/>
  <c r="O88" i="7" s="1"/>
  <c r="K299" i="7"/>
  <c r="N299" i="7" s="1"/>
  <c r="O299" i="7" s="1"/>
  <c r="K298" i="7"/>
  <c r="N298" i="7" s="1"/>
  <c r="O298" i="7" s="1"/>
  <c r="K350" i="7"/>
  <c r="N350" i="7" s="1"/>
  <c r="O350" i="7" s="1"/>
  <c r="K373" i="7"/>
  <c r="N373" i="7" s="1"/>
  <c r="O373" i="7" s="1"/>
  <c r="K372" i="7"/>
  <c r="N372" i="7" s="1"/>
  <c r="O372" i="7" s="1"/>
  <c r="K292" i="7"/>
  <c r="N292" i="7" s="1"/>
  <c r="O292" i="7" s="1"/>
  <c r="K291" i="7"/>
  <c r="N291" i="7" s="1"/>
  <c r="O291" i="7" s="1"/>
  <c r="K81" i="7"/>
  <c r="N81" i="7" s="1"/>
  <c r="O81" i="7" s="1"/>
  <c r="K117" i="7"/>
  <c r="N117" i="7" s="1"/>
  <c r="O117" i="7" s="1"/>
  <c r="K289" i="7"/>
  <c r="N289" i="7" s="1"/>
  <c r="O289" i="7" s="1"/>
  <c r="K288" i="7"/>
  <c r="N288" i="7" s="1"/>
  <c r="O288" i="7" s="1"/>
  <c r="K344" i="7"/>
  <c r="N344" i="7" s="1"/>
  <c r="O344" i="7" s="1"/>
  <c r="K111" i="7"/>
  <c r="N111" i="7" s="1"/>
  <c r="O111" i="7" s="1"/>
  <c r="K340" i="7"/>
  <c r="N340" i="7" s="1"/>
  <c r="O340" i="7" s="1"/>
  <c r="K338" i="7"/>
  <c r="N338" i="7" s="1"/>
  <c r="O338" i="7" s="1"/>
  <c r="K282" i="7"/>
  <c r="N282" i="7" s="1"/>
  <c r="O282" i="7" s="1"/>
  <c r="K325" i="7"/>
  <c r="N325" i="7" s="1"/>
  <c r="O325" i="7" s="1"/>
  <c r="K102" i="7"/>
  <c r="N102" i="7" s="1"/>
  <c r="O102" i="7" s="1"/>
  <c r="K319" i="7"/>
  <c r="N319" i="7" s="1"/>
  <c r="O319" i="7" s="1"/>
  <c r="K101" i="7"/>
  <c r="N101" i="7" s="1"/>
  <c r="O101" i="7" s="1"/>
  <c r="K358" i="7"/>
  <c r="N358" i="7" s="1"/>
  <c r="O358" i="7" s="1"/>
  <c r="K105" i="7"/>
  <c r="N105" i="7" s="1"/>
  <c r="O105" i="7" s="1"/>
  <c r="K332" i="7"/>
  <c r="N332" i="7" s="1"/>
  <c r="O332" i="7" s="1"/>
  <c r="K331" i="7"/>
  <c r="N331" i="7" s="1"/>
  <c r="O331" i="7" s="1"/>
  <c r="K367" i="7"/>
  <c r="N367" i="7" s="1"/>
  <c r="O367" i="7" s="1"/>
  <c r="K366" i="7"/>
  <c r="N366" i="7" s="1"/>
  <c r="O366" i="7" s="1"/>
  <c r="K286" i="7"/>
  <c r="N286" i="7" s="1"/>
  <c r="O286" i="7" s="1"/>
  <c r="K285" i="7"/>
  <c r="N285" i="7" s="1"/>
  <c r="O285" i="7" s="1"/>
  <c r="K284" i="7"/>
  <c r="N284" i="7" s="1"/>
  <c r="O284" i="7" s="1"/>
  <c r="K130" i="7"/>
  <c r="N130" i="7" s="1"/>
  <c r="O130" i="7" s="1"/>
  <c r="K277" i="7"/>
  <c r="N277" i="7" s="1"/>
  <c r="O277" i="7" s="1"/>
  <c r="K59" i="7"/>
  <c r="N59" i="7" s="1"/>
  <c r="O59" i="7" s="1"/>
  <c r="K271" i="7"/>
  <c r="N271" i="7" s="1"/>
  <c r="O271" i="7" s="1"/>
  <c r="K270" i="7"/>
  <c r="N270" i="7" s="1"/>
  <c r="O270" i="7" s="1"/>
  <c r="K51" i="7"/>
  <c r="N51" i="7" s="1"/>
  <c r="O51" i="7" s="1"/>
  <c r="K50" i="7"/>
  <c r="N50" i="7" s="1"/>
  <c r="O50" i="7" s="1"/>
  <c r="K141" i="7"/>
  <c r="N141" i="7" s="1"/>
  <c r="O141" i="7" s="1"/>
  <c r="K137" i="7"/>
  <c r="N137" i="7" s="1"/>
  <c r="O137" i="7" s="1"/>
  <c r="K262" i="7"/>
  <c r="N262" i="7" s="1"/>
  <c r="O262" i="7" s="1"/>
  <c r="K261" i="7"/>
  <c r="N261" i="7" s="1"/>
  <c r="O261" i="7" s="1"/>
  <c r="K49" i="7"/>
  <c r="N49" i="7" s="1"/>
  <c r="O49" i="7" s="1"/>
  <c r="K48" i="7"/>
  <c r="N48" i="7" s="1"/>
  <c r="O48" i="7" s="1"/>
  <c r="K307" i="7"/>
  <c r="N307" i="7" s="1"/>
  <c r="O307" i="7" s="1"/>
  <c r="K97" i="7"/>
  <c r="N97" i="7" s="1"/>
  <c r="O97" i="7" s="1"/>
  <c r="K96" i="7"/>
  <c r="N96" i="7" s="1"/>
  <c r="O96" i="7" s="1"/>
  <c r="K100" i="7"/>
  <c r="N100" i="7" s="1"/>
  <c r="O100" i="7" s="1"/>
  <c r="K309" i="7"/>
  <c r="N309" i="7" s="1"/>
  <c r="O309" i="7" s="1"/>
  <c r="O45" i="7"/>
  <c r="O257" i="7"/>
  <c r="O40" i="7"/>
  <c r="O256" i="7"/>
  <c r="O255" i="7"/>
  <c r="O240" i="7"/>
  <c r="K355" i="7"/>
  <c r="N355" i="7" s="1"/>
  <c r="O355" i="7" s="1"/>
  <c r="K129" i="7"/>
  <c r="N129" i="7" s="1"/>
  <c r="O129" i="7" s="1"/>
</calcChain>
</file>

<file path=xl/sharedStrings.xml><?xml version="1.0" encoding="utf-8"?>
<sst xmlns="http://schemas.openxmlformats.org/spreadsheetml/2006/main" count="4234" uniqueCount="1011">
  <si>
    <t>- Affichages obligatoires sur certains site, 
 - Remontées hiérarchiques, possibilité de s'orienter vers le médecin de prévention ou les ASS qui peuvent proposer des mesures individuelles concernant la situation du salarié victime,
 - Possibilité de faire des remontées par le registre santé sécurité au travail sur l'intranet lien: http://intra.dirm-mediterranee.e2.rie.gouv.fr/saisie-d-une-remarque-a1849.html</t>
  </si>
  <si>
    <t>Fatigue, anxiété, désengagement social, troubles du sommeil, stress post-traumatique, tachycardie, sueurs, tremblements, crises, atteintes somatiques, angoisse, cauchemars, désinvestissement, absentéisme, isolement, perte de productivité, conflits avec les agents et troubles de la concentration, gestes suicidaires.</t>
  </si>
  <si>
    <t>Harcèlement moral, sexuel, agissements sexistes, discrimination, situations de violences verbales, physiques, sexuelles.</t>
  </si>
  <si>
    <t>Risques psychosociaux (RPS)</t>
  </si>
  <si>
    <t>Travail isolé sur sites isolés pendant de longues périodes, associé à une faible qualité des rapports sociaux, des difficultés relationnelles ou à la promiscuité.</t>
  </si>
  <si>
    <t>- Consulter le DICRIM* de la commune pour être informer, se préparer et se protéger de ces risques présents près de chez-soi et au travail, lien intranet : http://intra.dram-mediterranee.i2/le-risque-de-force-majeure-a2169.html
 - S'informer auprès des services de la commune sur les mises à jours des DICRIM* et diffuser l'information au personnel.
 *DICRIM: Document d'Information Communal sur les Risques Majeurs
- En cas d'alerte prendre les consignes, s'organiser et anticiper  (SNA signal d'alerte et d'information, radio, internet, réseaux sociaux..).</t>
  </si>
  <si>
    <t>Pas de retours des connaissances et d'adoption de comportements
adaptés aux menaces. Cette information se fait logiquement au travers du Document d'Information Communal sur les Risques Majeurs (DICRIM).
Lien intranet: 
http://intra.dram-mediterranee.i2/le-risque-de-force-majeure-a2169.html</t>
  </si>
  <si>
    <t>Tous types de dommages liés à la nature de la catastrophe ou l'événement</t>
  </si>
  <si>
    <t xml:space="preserve">Les cas de force majeure sont des situations imprévisibles qui échappent au contrôle des personnes et sont par nature inévitables : risques naturel (feu de forêt, séisme.., événement climatique exceptionnel : canicule, inondation…), risques technologiques (industriel, transport de matières dangereuses...) &amp; d'autres risques (risque terroriste..) </t>
  </si>
  <si>
    <t>Risque de force majeure</t>
  </si>
  <si>
    <t>Tous Responsables POLMAR</t>
  </si>
  <si>
    <t xml:space="preserve">  - Possibilité de s'orienter vers le médecin de prévention et / où vers le pôle de prévention en lien avec le service informatique pour une demande d'adaptation des postes de travail et  fourniture de matériels informatiques et bureautiques (écran, souris, repose pieds...).
 - Accès à distance aux applicatifs, aux ressources et aux données disponibles habituellement sur site, dans le respect du droit à la déconnexion,
- signal d'indication hors horaire dans la messagerie mélanie2.
- Assistance à distance pour l’usage des outils informatiques et de communication.
 - Précautions à prendre communiquées en matière de sécurité des données.
 - Brochure d'information accessible sur l'intranet concernant les risques du télétravail, le lien: http://intra.dirm-mediterranee.e2.rie.gouv.fr/IMG/pdf/teletravail_dirmmed1_cle79ff51.pdf
 - Installation (dans la mesure du possible) dans un espace de travail dédié (ou mieux dans une pièce isolée) afin de ne pas être dérangé, aménagement de poste de travail pour travailler dans de bonnes conditions et de façon à limiter les risques de troubles musculosquelettiques.
 - Pauses régulières afin de permettre des phases de repos visuel, de bouger, et ainsi d'éviter de maintenir la posture assise trop longtemps (pauses de cinq minutes toutes les heures par exemple).</t>
  </si>
  <si>
    <t>TOUS Responsables COB</t>
  </si>
  <si>
    <t xml:space="preserve"> - Baisse des performances visuelles, sensation de lourdeur des globes oculaires, rougeurs, picotements, éblouissements, une myopie temporaire, les yeux secs, des maux de tête,
 - Troubles musculosquelettiques (TMS): contraintes posturales (épaules, coudes, poignets…) et du rachis (cervical, dorsal, lombaire).
 - Pathologies cardiovasculaires (hypertension artérielle, insuffisance cardiaque…),
 - Troubles métaboliques dù à la sédentarité (pathologies, maladies, obésité, dépression…).</t>
  </si>
  <si>
    <t>Sites SPB-Méditerranée (tous COB - Tous Dépts)</t>
  </si>
  <si>
    <t>Tous COB-SPB Méditerranée</t>
  </si>
  <si>
    <t>2. SPB</t>
  </si>
  <si>
    <t>- Symptômes respiratoires, (asthme, allergies).
- Maladies, infections et intoxications, réactions allergiques, cutanées.
- Transmissibilité à l'homme de différentes formes de virus (Grippe, Covid..), de bactéries, de champignons, de parasites.</t>
  </si>
  <si>
    <t>Infections (intoxication) alimentaires.</t>
  </si>
  <si>
    <t xml:space="preserve">- Prévoir en l’absence de point d’eau sur site d’intervention : un jerrican d’eau, du savon et des essuie-mains à usage unique ou du produit hydroalcooliques désinfectant (les gels anti-bactérien ne remplacent pas l’eau et le savon).
- En période d'épidémie (grippe, Covid..), mise en application :
=&gt; des consignes principales (hygiène des mains, mesures barrières, distanciation physique,…),
=&gt; du plan de continuité d’activité (en fonction des différents niveaux),
=&gt; du plan de reprise des activités et des procédures spécifiques définisant les mesures de protection (organisationnelles, collectives, individuelles..) à mettre en œuvre au sein des services en fonction des diverses activités afin de réduire la propagation du virus (ré-évaluation nécessaire des risques, en incluant les situations liées au Covid-19).
- Remontées des besoins en équipements et protections spécifiques.
</t>
  </si>
  <si>
    <t>La contamination bactérienne par les  voies respiratoires provoque la légionellose (pneumopathie pouvant  laisser des séquelles graves sur les plans cardiaques, respiratoires et musculaires et entraîner le décès).</t>
  </si>
  <si>
    <t>Tétanos, infections, cas rare mais pouvant être mortel.</t>
  </si>
  <si>
    <t>Manutention de métaux rouillés, de bois (échardes).</t>
  </si>
  <si>
    <t>Infection bénigne à grave.</t>
  </si>
  <si>
    <t xml:space="preserve">- Suivi du MDP : vaccination et rappels.
- Port des EPI (gants) et vêtements de travail adaptés, respect des consignes
</t>
  </si>
  <si>
    <t xml:space="preserve">Généralisation du suivi (vaccination, rappels).
</t>
  </si>
  <si>
    <t>Pas de mesure</t>
  </si>
  <si>
    <t xml:space="preserve">- Port de gant jetables, masques respiratoire, lunettes de protection.
- Lavage des mains pour se décontaminer
et éviter de contaminer les autres.
- Eviter tout contact des mains souillées avec ses yeux, son nez, sa bouche.
- Consultation de la fiche prévention sur l’intranet:
http://intra.dram-mediterranee.i2/fichesprevention-
a1644.html
</t>
  </si>
  <si>
    <t xml:space="preserve">- Généralisation des glacières isothermes pour les repas en extérieur (respect de la température de conservation des aliments).
- Prévoir en l’absence de point d’eau sur site d’intervention : un jerrican d’eau, du savon et des essuie-mains à usage unique ou du produit hydroalcooliques désinfectant (les gels anti-bactérien ne remplacent pas l’eau et le savon).
- Assurer le nettoyage des surfaces utilisées après repas/café (réfrigirateurs, tables, cafetières..), fournir le nécessaire.
</t>
  </si>
  <si>
    <t xml:space="preserve">Démarche préventive et curative réalisée sur certains sites.
</t>
  </si>
  <si>
    <t xml:space="preserve">- Lavage des mains régulier pour se décontaminer et éviter de contaminer les autres ou utilisation de produit hydroalcoolique désinfectant (à utiliser sur main non souillées, ces solutions ne remplacent pas l’eau et le savon).
- Respect des mesures barrières.
- Port d’EPI adaptés à la situation (gants jetables, masques de protection respiratoire..).
- En général pas de contact des mains souillées avec ses yeux, son nez, sa bouche.
- Aérosol d’insecticide (dans les véhicules d’intervention).
- Vestiaires, douches, matériel de lavage des vêtements ( travaux salissants).
- Eclairage à détection automatiques installés dans certains services (conseillé dans les salles d’eau).
- Déshumidificateur installés dans certains services.
</t>
  </si>
  <si>
    <t xml:space="preserve">- Suivi médical du MDP et permanence ASS, groupe de coordination médico-social.
- Affectation sur volontariat pour les postes isolés et communication interne ponctuelle.
- Mise en œuvre d’un plan d’évaluation et de prévention des RPS dans le cadre du plan national d’action, plan d’actions en cours.
</t>
  </si>
  <si>
    <t>Troubles physiques, psychologiques, conduites addictives...</t>
  </si>
  <si>
    <t xml:space="preserve">- Lavage des mains pour se décontaminer et éviter de contaminer les autres.
- Consommation eau minérale + respect des règles d’hygiène alimentaire. 
- Établissements et locaux tenus dans un état d'hygiène et de salubrité nécessaires à la santé du personnel.
- Désinfection des cuves à eau (phare de la Giraglia).
</t>
  </si>
  <si>
    <t>Lésions corporelles, superficielles ou profondes, décès.</t>
  </si>
  <si>
    <t>- Accident de trajet ou de mission lié à la fréquence et à la longueur des déplacements (particulièrement lors de déplacements pour entraide Sète et Port de Bouc A/R).
- Transport de matériel (remorque double essieu 3,5T).
- Risque accentué par la fatigue, la prise d’alcool ou de médicaments, l’état du véhicule et la météo.
Pour rappel (cf. R.21 risque de chute d’objets) : Le déplacement intempestif d’une charge mal arrimée dans l‘habitacle peut entraîner une perte de contrôle du véhicule.</t>
  </si>
  <si>
    <t>Risque routier</t>
  </si>
  <si>
    <t>Risque lié à la présence d'animaux</t>
  </si>
  <si>
    <t xml:space="preserve">- Port d'un moyen de protection lorsque le risque est avéré (casque).
</t>
  </si>
  <si>
    <t>Blessures.</t>
  </si>
  <si>
    <t>Attaque de goélands en période de nidification.</t>
  </si>
  <si>
    <t>Tous types de dommages (liés à la situation accidentelle imprévue, non évaluée).</t>
  </si>
  <si>
    <t>- Absences de mesures de protections pour prévenir les risques liés aux interférences engendrées par la co-activité sur un même site (ex : intervention des entreprises de nettoyage sans plan de prévention : sols glissants, stockages et utilisation de produits ménagers présentant des risques, mélanges de produits).
- Interférence des activités lors d’intervention ou de travaux (non évalués) effectués à proximité et/ou dans les locaux administratifs par des entreprises extérieures.</t>
  </si>
  <si>
    <t>Risque lié à la co-activité et à l'intervention d'entreprises extérieures</t>
  </si>
  <si>
    <t>- Formations aux règles de sécurité (plan de prévention) suivi par certains agents.
- Inspections communes au préalable avec aide du document RSICP.
- Plan de prévention dans certains cas.</t>
  </si>
  <si>
    <t>- Politique de prévention à mettre en place (charte addictions).
- Affichage obligatoire de l’interdiction de fumer et de vapoter dans tous lieux fermés et couverts qui accueillent du public ou qui constituent des lieux de travail (modèle de signalisation fourni sur demande au CP).</t>
  </si>
  <si>
    <t>- Interdiction de fumer et de vapoter affichée dans certains locaux et lieux de travail.
- Rappel des textes réglementaires.
- Note interne n°270 du 14/03/14 diffusée aux services « politique de la DIRM MED en matière de prévention des risques liés à la consommation d’alcool » .</t>
  </si>
  <si>
    <t>- Lésions corporelles, décès, 
- pathologies liées à la consommation de ces substances,
- affections psychiques,
- Tabagisme : maladies, cancers, insuffisance respiratoire.</t>
  </si>
  <si>
    <t>- Consommation de substances psychoactives pouvant altérer les facultés physiques et psychiques de l’individu et entraîner des accidents du travail ou de circulation (manque de vigilance, perte d’équilibre, diminution des réflexes, effet désinhibant conduisant à la prise de risque).
- Tabagisme et vapotage actif, passif.</t>
  </si>
  <si>
    <t>Risque lié à l'alcool, drogues, médicaments, tabac.</t>
  </si>
  <si>
    <t>Lésions corporelles, superficielles ou profondes, décès (accident de la route).</t>
  </si>
  <si>
    <t>Lorsque un agent travaille seul pendant un certain temps, dans un environnement où il ne peut être vu et entendu directement par d’autres et où la probabilité de visite est faible (la durée d’isolement majorant le risque).</t>
  </si>
  <si>
    <t>Risque lié aux interventions isolées</t>
  </si>
  <si>
    <t>Tous ceux liés au fait que l’agent ne dispose pas de la possibilité de recours en cas d’aléas, d’accident ou de malaise.</t>
  </si>
  <si>
    <t>* Fermeture des accès, signalétique pour interdire l’accès des sites au public.
- Procédure interne de signalement des agressions.</t>
  </si>
  <si>
    <t>Blessures psychiques et/ou physiques.</t>
  </si>
  <si>
    <t>Intrusion et sécurité des sites</t>
  </si>
  <si>
    <t>Risque agression / agressivité lié au contact avec l'extérieur</t>
  </si>
  <si>
    <t xml:space="preserve">Lésions corporelles, superficielles ou profondes. </t>
  </si>
  <si>
    <t>- Circulation à pied sur sol glissant, inégal ou présentant des obstacles pouvant entraîner une chute ou occasionner la torsion d'une articulation ou un choc contre un élément matériel. (Ex : escaliers ou sol irréguliers, encombrement des passages, présence sur le sol de divers objets comme les cartons, archives, les prolongateurs électriques, informatiques et bureautiques.
- Collision avec un véhicule.</t>
  </si>
  <si>
    <t>Risque lié aux déplacements internes</t>
  </si>
  <si>
    <t xml:space="preserve">- Rangement et nettoyage régulier.
- Installation de goulottes au sol pour la protection et le passage de câbles, rangement des câbles bureautiques, revêtements antidérapants.
- Dégagement des voies de circulation.
- Balisage réflexe (signalétique temporaire) des zones à risques.
</t>
  </si>
  <si>
    <t>- Information sur environnement de travail,
- Pauses régulières, alternance des tâches.
- Acquisition, remplacement et adaptation du matériel de bureau afin d’améliorer l’ergonomie (plan de travail ,fauteuil, écrans, portes-documents, repose-pieds..).</t>
  </si>
  <si>
    <t>Apparition de troubles musculo-squelettiques et vasculaires.</t>
  </si>
  <si>
    <t xml:space="preserve">Vibrations régulièrement transmises à l’ensemble du corps du personnel </t>
  </si>
  <si>
    <t>Risque lié aux vibrations</t>
  </si>
  <si>
    <t xml:space="preserve">- Entretien régulier
 des engins (suspensions, gonflage pneumatiques) et navires, améliorations techniques (sièges à suspension, caillebotis souples..),
- Remplacer les outils/machines usagés et détériorés, par des modèles intégrant des dispositifs anti-vibratiles.
</t>
  </si>
  <si>
    <t xml:space="preserve">- Contraintes physiques marquées intégrées dans la FPE (traçabilité individuelle/suivi post-pro) pour les agents exposés dans les service qui ont déployés le dispositif.
- Utilisation de l’outil/machine adapté à la tâche appropriée, maintien des mains au chaud et au sec, poses régulières et port de gants adaptés.
</t>
  </si>
  <si>
    <t>Risque lié aux conditions de travail particulières (horaires décalés, astreinte..)</t>
  </si>
  <si>
    <t>Accidents, traumatisme corporel, risque psychologique.</t>
  </si>
  <si>
    <t>Horaires décalés, ou atypiques, Éloignement en mer Mission à l'étranger</t>
  </si>
  <si>
    <t xml:space="preserve">Généralisation des connexions nomades pour accéder à l’application d'envoi des avis aux navigateurs (AVURNAV).
</t>
  </si>
  <si>
    <t xml:space="preserve">- Pendant les astreintes, les interventions de nuit sont réservées aux sites prioritaires, sous conditions. 
- Respect des amplitudes d’horaires et des durées de repos quotidien (Cf.RI relatif à l’aménagement et à la réduction du temps de travail).
</t>
  </si>
  <si>
    <t>- Consultation des nombreux guides conseils en ligne .
- Généralisation des solutions ergonomiques, étude du poste de travail (contacter le CP si besoin).</t>
  </si>
  <si>
    <t>Hypoacousie de perception par lésion cochléaire irréversible, accompagnée ou non d’acouphènes.</t>
  </si>
  <si>
    <t>Environnement bruyant</t>
  </si>
  <si>
    <t>Risque lié au bruit</t>
  </si>
  <si>
    <t>- Information, port des (PICB) protections individuelles contre le bruit.
- Prévenir les autres occupants des nuisances sonores échos possibles (ex : percement de plancher de locaux proches).
- Choix du matériel (insonorisation de certains équipements = protection collective).</t>
  </si>
  <si>
    <t>- Étude des postes exposés au bruit : Affichage du risque sur chaque poste ou équipement (signalétique, pictogramme de rappel).
- Evaluation à réaliser selon les situations d’expositions remontées (contacter le CP).
- Renouveler les protections auditives adaptées et sur mesure.
- Choix de matériels insonorisés à la conception lors du renouvellement..</t>
  </si>
  <si>
    <t>Problèmes respiratoires et ORL, irritations oculaires ou cutanées, choc thermique, maux de tête.</t>
  </si>
  <si>
    <t>Lors de manque d'entretien des climatiseurs + non respect des précautions d'usages (amplitude supérieure à 8°C néfaste à la santé), mauvaise ventilation naturelle ou mécanique.</t>
  </si>
  <si>
    <t>Risque lié à la qualité de l'air</t>
  </si>
  <si>
    <t>Port d'un masque FFP3 (filtration des particules fines).</t>
  </si>
  <si>
    <t>- Surveillance médicale.
- Consultations des sites de surveillance de la qualité de l’air et adaptation des tâches à réaliser.</t>
  </si>
  <si>
    <t>Diverses pathologies chroniques (cancers, pathologies cardiovasculaires et respiratoires, irritations oculaires, maux de tête) selon le niveau d’exposition.</t>
  </si>
  <si>
    <t>Pollution atmosphérique en constante évolution contenant divers polluants pouvant être à l’origine d’effets sur la santé, sur certains sites le phénomène est accentué par le rejet des navires, le trafic routier dense et les industries environnantes. Interactions possibles entre polluants chimiques, pollens et température.</t>
  </si>
  <si>
    <t>- Entretien régulier des climatiseurs (en interne ou par une entreprise extérieure).
- Aération régulière les locaux.
- Respect des amplitudes de réglage.</t>
  </si>
  <si>
    <t>- Vigilance sur le réglage de la climatisation: Il est fortement déconseillé de dépasser les 8°C d'écart entre l'intérieur et l'extérieur (ex pour 30°C à l’extérieur il serait raisonnable de se contenter de 22°C minimum à l'intérieur),
- Contrôle des systèmes de renouvellement d'air dans les bureaux (dans le cas de menuiseries modernes/étanches: arrivées d'air et extractions).</t>
  </si>
  <si>
    <t>Effets oculaires, visuels et généraux (maux de tête, fatigue, agressivité..).</t>
  </si>
  <si>
    <t>Éclairage trop puissant, trop faible ou non adapté au poste de travail.</t>
  </si>
  <si>
    <t>Risque lié à l'éclairage</t>
  </si>
  <si>
    <t>Déplacements ou travail dans une zone mal éclairée.</t>
  </si>
  <si>
    <t>- Généralisation des solutions d'adaptations ergonomiques (consultation des nombreux guides conseils en ligne, voir R.28), étude de l’éclairement du poste de travail (contacter le CP si besoin).
- Consultation des nombreux guides conseils en ligne.</t>
  </si>
  <si>
    <t>- Lampes de bureaux d’appoint individuelles, stores aux fenêtres, relamping sur certains sites
- Etude et recommandations formulées sur le type d’éclairage optimal sur certains postes.</t>
  </si>
  <si>
    <t>Lampe de poche (frontale à privilégier) avec piles de remplacement (indispensable dans la dotation).</t>
  </si>
  <si>
    <t>- Recensement et étude des zones mal éclairées.</t>
  </si>
  <si>
    <t>Chute, noyade, dommages corporels liés à un court-circuit*.</t>
  </si>
  <si>
    <t>Cancer de la peau, brûlures, mélanomes, lésions oculaires.</t>
  </si>
  <si>
    <t>Exposition prolongée et intense au soleil (éblouissement, rayonnement solaire, réflexion sur la mer).</t>
  </si>
  <si>
    <t>Risque lié à l'ambiance thermique</t>
  </si>
  <si>
    <t>Adapter les dispositions en fonction des conditions climatiques.</t>
  </si>
  <si>
    <t>Engelures, gerçures, hypothermie / hyperthermie, malaise, insolation, déshydratation.</t>
  </si>
  <si>
    <t>Travail dans des conditions de températures extrêmes (froid / chaud)</t>
  </si>
  <si>
    <t>Température élevée en intérieur.</t>
  </si>
  <si>
    <t>Rappel des bonnes pratiques (port de casquette, éviter de travailler torse nu, etc...), renouvellement des dotations d’EPI (lunettes de soleil avec indice UV adapté et crème solaire).</t>
  </si>
  <si>
    <t>Port des vêtements adaptés aux ambiances thermiques (lunettes, gants, combinaisons pour le froid, chaussures de sécurité pour le froid,
bonnet), mise à disposition de boissons.
- Aménagements des horaires de travail en été (dans certains services, cf. RI chap 3.3 et 1.10).
- Prise en compte des ambiances thermiques dans la planification des tâches.</t>
  </si>
  <si>
    <t>- Port de lunettes de soleil (adaptés à la luminosité) et casquette.
- Prise en compte de l’exposition prolongée au soleil dans la programmation des travaux en extérieur.</t>
  </si>
  <si>
    <t>- Information, limitation du temps d’exposition.
- Interventions aux heures les plus clémentes, ventilation naturelle du fût assurée par l’ouverture des portes et fenêtres.
- Hydratation régulière.</t>
  </si>
  <si>
    <t>Pathologies résultant de la déshydratation, coup de chaleur.</t>
  </si>
  <si>
    <t>Hypothermie, lésions cérébrales, pulmonaires, problèmes cardiaques, décès.</t>
  </si>
  <si>
    <t>Chute accidentelle à l’eau / à la mer lors de travaux ou de manutentions en bordure de quai, lors d’exercices ou d’interventions sur falaises, digues, enrochements ou moyens nautiques, lors d’embarquement, de débarquement, de transbordement ou en cours de navigation, ainsi que lors de circulations ou accès peu sécurisés autour des ESM, navires, quais ou balises.</t>
  </si>
  <si>
    <t>Risque de noyade</t>
  </si>
  <si>
    <t>- Interventions uniquement de jour avec port de gilet auto-gonflant (150 N).
- Utilisation de chaussures de sécurité à semelles antidérapantes.
- Coordination avec le pilote, vigilance, prise en compte de la météo, du trafic maritime (vagues de sillage), entretien des coupées,
- nettoyage de la surface des quais de débarquement.
- Prise en compte de la difficulté d’accès pour orienter le type de matériel à installé (ex : matériel plus léger, démontable..).</t>
  </si>
  <si>
    <t>Travaux en hauteur (toits, mâtures, ESM, installations, échafaudages, nacelles, échelles, mezzanines)</t>
  </si>
  <si>
    <t>Embarquement / Débarquement / Accès aux navires et annexes</t>
  </si>
  <si>
    <t>Lésions corporelles, superficielles ou profondes, noyade.</t>
  </si>
  <si>
    <t>Chutes de plain-pied lors d’accès terrestre à pied (chargé ou non), ou en présence d’objets/sol glissant.</t>
  </si>
  <si>
    <t>- Port de chaussures de sécurité à semelles antidérapantes, sacs de transport adaptés.
- Prise en compte de la difficulté d’accès pour orienter le type de matériel à installé (ex : matériel plus léger, démontable..).
- Recensements des sites équipés de cuves souterraines réalisés par certains centres (vérifications structurelles, balisage, consignes au personnel).</t>
  </si>
  <si>
    <t>Risque de chute d'objet</t>
  </si>
  <si>
    <t>- Balisage de chantier ou des zones à risque, maintient des plinthes en partie basse des gardes corps
- rangement des entrepôts, ateliers (rayonnage adaptés à la charge) et bureaux,
- port des EPI d’usage,
- sanglage, arrimage des matériels et des charges pendant le transport.</t>
  </si>
  <si>
    <t>Chute d’objets ou de matériel en hauteur (entreposage, travail en hauteur, manutention)</t>
  </si>
  <si>
    <t>- Utilisation de système anti-chute d’outils (sangle, longe, dragonne…)
- pose de plinthe de 10 à 15 cm en partie basse des gardes corps,
- équipement des véhicules utilitaires de cloison/grille de séparation habitacle/coffre.</t>
  </si>
  <si>
    <t>Risque d'asphyxie</t>
  </si>
  <si>
    <t>Maux de tête, troubles divers, malaise, séquelles graves, décès.</t>
  </si>
  <si>
    <t>Présence de gaz dans des locaux, véhicules ou zones mal ventilées</t>
  </si>
  <si>
    <t>- Vérification visuelle des robinets, des flexibles et détendeurs sur les bouteilles de gaz de soudage.
- Vérification et entretien des échappements et des arrivées d’air des locaux de groupe électrogène.</t>
  </si>
  <si>
    <t>Utilisation de machines-outils, outillages électroportatifs et équipements mécaniques</t>
  </si>
  <si>
    <t>Risque mécanique</t>
  </si>
  <si>
    <t>Lésions corporelles, oculaires superficielles ou profondes</t>
  </si>
  <si>
    <t>Risque manutention mécanique et au levage</t>
  </si>
  <si>
    <t>Mise à l’eau, embarquement ou débarquement de moyens nautiques</t>
  </si>
  <si>
    <t>Utilisation d’engins et appareils de levage</t>
  </si>
  <si>
    <t>- Poursuivre le suivi régulier du personnel à former et aux nouveaux arrivants.
- Maintien en bon état du revêtement de la zone de manutention.
- Affichage et information sur le plan de circulation.
- Port systématique de vêtements à haute visibilité sur les zones de manutention.
- Le conducteur de l’engin doit être guidé/assisté lors de la manutention des pièces volumineuses</t>
  </si>
  <si>
    <t>- Suivi des formations (CACES), autorisation de conduite délivrées aux titulaires (examen aptitude médicale, instructions à respecter..),
- Formation élingage,
- Port d’EPI (gants, casques), manutention avec moyens adaptés, respect des consignes (sécurité, élingage..), maîtrise et choix du chariot (commandes, capacité..).
- Vérifications périodiques des appareils de levages, de leur apparaux et accessoires.
- Manutention BFI quai/navire réalisée avec une prestation grue.
- COB/MRS : achat d’un palonnier qui permet au « Provence » de manutentionner les charges sans recours à un chariot élévateur.</t>
  </si>
  <si>
    <t>- Délimitation et interdiction d’accès sur les zones de manoeuvres.</t>
  </si>
  <si>
    <t>Contrôle périodique interne de l’équipement et des aussières, port des EPI (gants, VFI).</t>
  </si>
  <si>
    <t>Risque manutention manuelle</t>
  </si>
  <si>
    <t>Douleurs dorso-lombaire, tendinites, écrasement, maladies professionnelle.</t>
  </si>
  <si>
    <t>Manutention et port de charges lourdes ou encombrantes (batteries, pompes, barrages) lors des opérations d’entretien prolongées</t>
  </si>
  <si>
    <t>- Utilisation d’outils d’aide à la manutention (diables, etc...), fractionnement des charges.
- Après évaluation des besoins (30 pièces) le personnel a été équipé de harnais de force type CORFOR.
- Choix de chaussures de sécurité à semelles adhérentes.</t>
  </si>
  <si>
    <t>A long terme peut être la cause de cancers du poumon (en fonction de la concentration dans les locaux et du temps d'exposition).</t>
  </si>
  <si>
    <t>Exposition aux sources radioactives naturelles ou externes</t>
  </si>
  <si>
    <t>Risque lié aux rayonnements ionisants et non ionisants (électromagnétiques)</t>
  </si>
  <si>
    <t>Exposition aux champs électromagnétiques haute fréquence</t>
  </si>
  <si>
    <t>Effets nocifs à long terme (cataracte, impact sur la reproduction, nécroses, brûlures, augmentation du risque de cancer).</t>
  </si>
  <si>
    <t>- Inventaire des installations à réaliser. Alerte de la hiérarchie ou du CP en cas de présence de tête radioactive.
- Fiche INRS ED 4447 mis en ligne sur l'intranet (prévention et bonnes pratiques).</t>
  </si>
  <si>
    <t>COB Toulon: mise en place de la procédure avec l'ANDRA suite à la découverte d'une pointe "helvita", jusqu'à l'enlèvement, vérification d'une éventuelle contamination par les pompiers.</t>
  </si>
  <si>
    <t>Effets du radium 226 ou de l’américium 241 sur le corps.</t>
  </si>
  <si>
    <t>Exposition aux sources radioactives présentes dans les installations</t>
  </si>
  <si>
    <t>- Exploitation des FDS avant achat.
- Vérification des COB utilisant les procédés de soudures TIG,
- Fiche INRS ED 4446 mis en ligne sur l'intranet (prévention et bonnes pratiques).</t>
  </si>
  <si>
    <t>- Mesures de préventions proposée par un expert CARSAT suite à la visite du 16 mars 2016 :
=&gt; Substitution des électrodes présentant de l’oxyde de thorium marqué « WT » par des électrodes contenant des oxydes de lanthane « WL » ou de cérium « WC » (COB MRS, Sète).
=&gt; Diffusions des recommandations aux autres COB et services pour prise en compte.
- Evaluation des doses réalisée par le CP et le MDP (traçabilité).</t>
  </si>
  <si>
    <t>Effet des 2 principaux isotopes du thorium (Th 232 et 228), classé cancérigène avéré par le CIRC.</t>
  </si>
  <si>
    <t>Exposition aux rayonnements ionisants lors du procédé TIG</t>
  </si>
  <si>
    <t>- Réalisation de mesures sur les sites ou des installations sont présentes.
- Matérialisation des zones de danger (émissions).</t>
  </si>
  <si>
    <t>Mesurages, application des procédures (arrêt émission) avant intervention, information aux intervenants, affichage du danger d’exposition (signalétique, périmètre, diagramme de rayonnement..).</t>
  </si>
  <si>
    <t>Risque lié aux postures de travail</t>
  </si>
  <si>
    <t>Postures contraignantes ou prolongées</t>
  </si>
  <si>
    <t>Douleurs dorso-lombaire, tendinites, maladies professionnelles.</t>
  </si>
  <si>
    <t>- Mettre en place stage PRAP (Prévention des risques liés à l’activité physique).
- Etude ergonomique des postes de travail si nécessaire (voir avec le CP),
- Remontées de besoins au CP en harnais de force.</t>
  </si>
  <si>
    <t>- Conseil sur l’ergonomie aux agents.
- Après évaluation des besoins une partie du personnel a été équipé de harnais de force type CORFOR (30 agents équipés par la DIRM en 2017).</t>
  </si>
  <si>
    <t xml:space="preserve">Risque lié aux fluides et équipements sous-pression </t>
  </si>
  <si>
    <t>Utilisation du réseau d’air comprimé (compresseur), de laveur haute pression, rupture de flexibles de circuit hydraulique (chariot élévateur, matériel POLMAR).</t>
  </si>
  <si>
    <t xml:space="preserve">Faire le point sur les contrôles réglementaires des équipements (intégrer le suivi au registre unique de sécurité du site) et renseigner la Fiche Sécurité DUERP du site.
</t>
  </si>
  <si>
    <t>- Suivi entretien vérifications techniques réglementaires (périodicité),
- surveillance visuelle de l’état du matériel,
- port des EPI suivant les notices d’utilisation.</t>
  </si>
  <si>
    <t>Automatismes motorisés : barrières, portails, portes automatiques, volets roulants, optiques tournantes des phares, réenclencheurs automatiques de disjoncteurs, groupes électrogènes (automates) — risque de mise en mouvement ou de fermeture automatique.</t>
  </si>
  <si>
    <t>Risque lié aux automatismes</t>
  </si>
  <si>
    <t>Écrasement, lésions légères à graves, électrisation, électrocution.</t>
  </si>
  <si>
    <t/>
  </si>
  <si>
    <t>Risque lié à la manipulation d'outils</t>
  </si>
  <si>
    <t>Utilisation d’outillage manuel ou électroportatif lors de différents travaux</t>
  </si>
  <si>
    <t>Coupures, contusions, écrasement, lésions diverses.</t>
  </si>
  <si>
    <t>- Port des protections individuelles : Gants, écran facial et autres recommandés dans les manuels de sécurité/notices des fabriquant machines, respect des consignes d’utilisation.
- Certains agents portent des lunettes de protection oculaires à correction adaptée ou masque surlunettes.</t>
  </si>
  <si>
    <t>Risque lié à l'utilisation de produits pyrotechniques</t>
  </si>
  <si>
    <t>Manipulation de fusées de détresse , de lance amarres, stockage anarchique à proximité de points chauds</t>
  </si>
  <si>
    <t>Suivi du stock, rangement et enlèvement après la date de péremption.</t>
  </si>
  <si>
    <t>Brûlures, contusions, lésions.</t>
  </si>
  <si>
    <t>- Recherche d’un collecteur approprié.
- Prise en compte de l’enlèvement des fusées périmées dans le choix des fournisseurs.</t>
  </si>
  <si>
    <t>Risque Rayonnement Optiques Artificiels: DEL/Eclairage à forte luminance/Laser</t>
  </si>
  <si>
    <t>- Généralisation de la pose d’écran lors des essais ou des réglages, 
- suivi de la veille technologique, recherche de l’EPI le mieux adapté (lunettes horticoles, IPL..),
- sensibilisation et information du personnel.
- mise en place d’une signalisation adaptée.</t>
  </si>
  <si>
    <t>- Mise en place d’écran ou de filtres,
-Port de lunettes de protection (type soudure).</t>
  </si>
  <si>
    <t>Brûlures plus ou moins graves, lésions oculaires.</t>
  </si>
  <si>
    <t>Lors du réglage ou maintenance de certains foyers à D.E.L ou toutes autres sources à forte luminance (HMI).</t>
  </si>
  <si>
    <t>Brûlures légères à graves, dommages, lésions, décés.</t>
  </si>
  <si>
    <t>Incendie d’origine électrique (court-circuit, surcharge, défaillance, foudre)</t>
  </si>
  <si>
    <t>Risque Incendie</t>
  </si>
  <si>
    <t>Incendie lors de travaux par points chauds</t>
  </si>
  <si>
    <t>Batterie :
- Maintient des protections des pôles (caches bornes y compris lors du transport), vérification des branchements avant connexion (hors charge),
- ne pas porter d’éléments conducteurs (bracelet, montre, bague..)
- laisser reposer après la charge avant transport,
- charge dans un local suffisamment ventilé (voir norme et recommandations fabricant, FDS),
- outils de connections isolés (clefs, tournevis).</t>
  </si>
  <si>
    <t>Incendie de végétation (broussailles / forêt)</t>
  </si>
  <si>
    <t>Respect des instructions impératives de sécurité (détaillées sur les permis de feu).</t>
  </si>
  <si>
    <t>Respect des arrêtés sécheresse et des obligations de débroussaillage dans les zones réglementées.</t>
  </si>
  <si>
    <t>- Débroussaillages ponctuels des sites.
- Extincteurs, eau à proximité en cas de risque.</t>
  </si>
  <si>
    <t>Batteries Stationnaires :
- Maintient des protections des pôles (caches bornes y compris lors du transport), vérification des branchements avant connexion (hors charge),
- ne pas porter d’éléments conducteurs (bracelet, montre, bague..)
- laisser reposer après la charge avant transport,
- charge dans un local suffisamment ventilé (voir norme et recommandations fabricant, FDS),
- outils de connections isolés (clefs, tournevis).</t>
  </si>
  <si>
    <t>*Vérification périodique des dispositifs de lutte contre les débuts d’incendies dans les locaux (attente retour).
*Plan d’évacuation, signalétique et exercices d’évacuation périodiques réalisés sur certains sites.
*Maintient des portes des tableaux et coffrets en position fermée.
*Respect des règles d’interventions et d'installations.
*Respect des règles d'utilisation du matériel (surcharge et surchauffe).
*Acquisition de matériel conforme à la norme en vigueur, respect de la puissance maximale indiquée sur les prolongateurs et multiprises.
*Vérification périodique des installations électriques, mise en conformité des installations (attente de retour).</t>
  </si>
  <si>
    <t>Risque explosion</t>
  </si>
  <si>
    <t>Risque d’explosion lié aux batteries (court-circuit / hydrogène)</t>
  </si>
  <si>
    <t>Lésions dues à la projections de particules solides ou liquides.</t>
  </si>
  <si>
    <t>Risque d’explosion ou de réaction violente par produits chimiques incompatibles</t>
  </si>
  <si>
    <t>Risque d’explosion lié aux gaz combustibles et travaux par point chaud</t>
  </si>
  <si>
    <t>- Poursuite de la vérification des incompatibilités de stockage.
- Vérification des locaux de stockage pour mises aux normes si nécessaire (matériel ATEX).</t>
  </si>
  <si>
    <t>Locaux ventilés, container de stockage à rayonnage, bac de rétention, exploitation des FDS (vérification des incompatibilités).</t>
  </si>
  <si>
    <t>- Ventilation haute et basse des véhicules utilisés pour le transport des bouteilles de gaz, système d’arrimage.
- Présence d’extincteurs dans les véhicules.</t>
  </si>
  <si>
    <t>- Vérification régulière du matériel de soudage (vannes, tuyaux..).
- Respect des bonnes pratiques (règles de stockage, interdictions de fumer..).
- Fermeture des robinets après utilisation.
- Maintien des bouteilles en position verticale.
- Dégazage des balises avant découpe.</t>
  </si>
  <si>
    <t>- Analyses des installations de batteries stationnaires de chaque COB, retours attendus pour définir la nécessité de formations des intervenants : dès lors que la tension des batteries stationnaires est supérieure à 60 volts ou dont la capacité totale est supérieure à 275 Ah, la réglementation aux travaux sous tension NFC 18-505-2-3 (installation qui n'a pu être mise hors tension) s'applique.  Sont considérées comme des interventions (intervenant habilité BR) les opérations électriques de courte durée (connexion/déconnexion hors charge et manutention bornes protégées), effectuées sur les circuits de batteries dont les caractéristiques physiques répondent à des éxigences de tension, de section des conducteurs et de protection contre les courts-circuits définies de manière à supprimer ou limiter les risques électriques.
- Information et rappels des consignes à respecter (maintient des protections de pôles, intervention avec usage d'outils isolés...).
- Respect des règles de transport (2 h après la charge, à vide pour les électrolytes liquide et pôles protégés) et des normes de ventilation des locaux (charge et stockage),</t>
  </si>
  <si>
    <t>Electrocution (décés), électrisation: fibrillation, lésions internes ou externes. Brûlures par arc électrique, incendie, explosion.</t>
  </si>
  <si>
    <t>Présence ou utilisation de matériel, d’équipements ou d’installations électriques défectueux, obsolètes ou non conformes (pièces nues sous tension, défaut d’isolation, absence de mise à la terre, surcharge de multiprises ou de prolongateurs).</t>
  </si>
  <si>
    <t>Risque électrique</t>
  </si>
  <si>
    <t>Interventions, opérations d’entretien ou de maintenance (charge, contrôle, connexions, déconnexions, remplacement, manutention) sur des installations ou équipements électriques basse tension, y compris les sources autonomes (groupes électrogènes, onduleurs, batteries stationnaires, panneaux photovoltaïques).</t>
  </si>
  <si>
    <t>* Analyses des installations de batteries stationnaires de chaque COB, retours attendus pour définir la nécessité de formations des intervenants : dès lors que la tension des batteries stationnaires est supérieure à 60 volts ou dont la capacité totale est supérieure à 275 Ah, la réglementation aux travaux sous tension NFC 18-505-2-3 (installation qui n'a pu être mise hors tension) s'applique.  Sont considérées comme des interventions (intervenant habilité BR) les opérations électriques de courte durée (connexion/déconnexion hors charge et manutention bornes protégées), effectuées sur les circuits de batteries dont les caractéristiques physiques répondent à des éxigences de tension, de section des conducteurs et de protection contre les courts-circuits définies de manière à supprimer ou limiter les risques électriques.
- Respect des règles de transport (pôles protégés).
- Pose de sectionneurs permettant de couper la charge.</t>
  </si>
  <si>
    <t>* Vérification visuelle de l’état du matériel électrique (ex :prolongateurs) avant usage (par tout agent), signalement de l’état du matériel endommagé à la hiérarchie et remplacement.
- Acquisition de matériel conforme à la norme en vigueur, respect de la puissance maximale indiquée sur les prolongateurs et multiprises.
- Maintiens des portes des tableaux et coffrets électriques en position fermée.
- Vérification périodique des installations électriques et mise en conformité des installations (attente retour).</t>
  </si>
  <si>
    <t>Risque de brûlure thermique</t>
  </si>
  <si>
    <t>Port des EPI (gants, masques, écran facial, lunettes).</t>
  </si>
  <si>
    <t>Travaux générant des températures élevées ou des échauffements : soudure, meulage, tronçonnage, découpage, oxycoupage, décapage thermique, pose de revêtement à chaud, colle à chaud.</t>
  </si>
  <si>
    <t>Pose de cartes, de pictogrammes sensibilisation au port des EPI. Choix des EPI les plus adaptés.</t>
  </si>
  <si>
    <t>Installation d’écrans provisoires.</t>
  </si>
  <si>
    <t>Vigilance de l'opérateur.</t>
  </si>
  <si>
    <t>Exposition à la convergence des rayons solaires lors de l’arrêt des optiques de phare pendant la maintenance de l’installation.</t>
  </si>
  <si>
    <t>Cancer, altérations génétiques héréditaires, altérations de la fertilité.</t>
  </si>
  <si>
    <t>Risque chimique lié à l'utilisation de produits CMR</t>
  </si>
  <si>
    <t>Altérations de la fertilité, (reprotoxique) troubles neurologiques.</t>
  </si>
  <si>
    <t>Inhalation de vapeurs de mercure (fractions gazeuses), contact cutané, ingestion accidentelle (maintenance des cuves à mercure ou de débordements accidentels, divers travaux à proximité des cuves, mauvaises conditions de stockage et manque d'identification de contenant)</t>
  </si>
  <si>
    <t>- Inhalation, contact cutané, ingestion accidentelle de produits CMR (solvants, peintures, etc) dû à de mauvaises conditions de protection, de traitement/manipulation, de stockage, de transport ou d’élimination.
- Exposition aux hydrocarbures (tous types de moteurs thermiques) : stockage, transport, manipulation de carburant.</t>
  </si>
  <si>
    <t>- Inhalation de fumées de soudage (procédés arc : électrodes enrobées, MIG chrome 6 présent dans l’inox) et contact cutané lors travaux de soudures en fonction de la nature du matériau soudé, du gaz utilisé et du métal d’apport.
- Inhalation de particules et de poussières métalliques lors de ponçage, meulage, découpe et oxycoupage.</t>
  </si>
  <si>
    <t>Pathologies aiguës ou chronique :
irritations, brûlure chimique, allergies, infections pulmonaires, affections oculaires, cutanées, cancers.</t>
  </si>
  <si>
    <t>- Port des équipement de protections adaptés (respiratoires, mains, peau).
- Lavage des mains.
- Rinçage régulier des fosses nasales avec sérum physiologique stérile.</t>
  </si>
  <si>
    <t>Cancers des sinus, troubles respiratoires, réactions allergiques, intoxication.</t>
  </si>
  <si>
    <t xml:space="preserve">Inhalation de poussières de bois (brut, traité..) et/ou de ces dérivés composés de nombreux produits chimiques (solvants des colles et vernis…) lors d’utilisation de machines à bois, d’outils portatifs pour les travaux de découpe, ponçage… </t>
  </si>
  <si>
    <t>*Poursuite des CREP sur les matériaux non repérés avant travaux.  En cas de présence, mise en oeuvre des recommandations variants en fonction des concentrations et de la nature de la dégradation 
*Veiller à l’entretien des revêtements recouvrants ; surveillance de l’état des peintures repérées.
*Soudage étain/plomb en fonction de la fréquence : ventilation générale ou captage à la source à assurer.</t>
  </si>
  <si>
    <t>- Réalisation de repérages : Constats de risque d’exposition au plomb (CREP) définissant la présence de revêtements contenant du plomb, pour les bâtiments construits avant le 1er janvier 1949. Postérieurement à cette date (huisseries et autres éléments métalliques:volets, grilles..) pour le minium. La recherche de canalisations en plomb est hors champ d’application du CREP.
- En cas de présence, mise en oeuvre des recommandations variants en fonction des concentrations et de la nature de la dégradation : réalisation des travaux appropriés
pour supprimer l’exposition (mesures de protection individuelle, collective, gestion des déchets..) ; transmission copie CREP aux occupants et personnes amenées à effectuer des travaux ; veille à l’entretien des revêtements recouvrants ; surveillance de l’état des peintures repérées.</t>
  </si>
  <si>
    <t>A long terme saturnisme (exposition aigue).
Par effets cumulatifs :troubles digestifs, du système nerveux, anémie, insuffisance rénale, altérations de la fertilité, (reprotoxique) et risques cancérogène possible ou suspectés pour certaines de ces molécules</t>
  </si>
  <si>
    <t>Exposition régulière au plomb (et ses composés) par inhalation de fumées, de poussières et ingestion de particules lors de travaux : de découpage, grattage de matières plombifères (minium anti-rouille, vieilles peintures..), de dépose de vieille couverture, d’anciens câbles gainés, de soudage étain-plomb et de ponçage de ces soudures.</t>
  </si>
  <si>
    <t>- Port des EPI conseillés après exploitation des FDS (effets sur la santé, stockage, EPI recommandés...), signalisation, identification et étiquetage.
- Réalisation des peintures en extérieur dans certains services.</t>
  </si>
  <si>
    <t>- Visite CHSCT de l’atelier chaudronnerie du COB de Marseille ( 04/09/2015 et 16/03/2016) mesures de préventions proposée par un expert CARSAT, par la suite l’ensemble des mesures ont été réalisées dans l’atelier : Extracteur ventilation générale, utilisation de bras articulés captage des fumées (changement des filtres), port d’appareil respiratoire à épuration d’air et à ventilation assistée (depuis 11/2015), substitution des électrodes du TIG (voir risque 16), nettoyage régulier des ateliers chaudronneries par aspirateur, mise en place d’une signalétique limitant l’accès à ce « local à pollution spécifique », dans la mesure du possible réalisation en extérieur des opérations de soudures à l’arc.
- Ces recommandations ont été diffusées aux autres COB SPB Méditérannée pour prise en compte et adaptation des installations.
- Suivi des recommandations fabricants (manuel de sécurité : consignes, port des EPI) plasma, postes à souder, meuleuse..</t>
  </si>
  <si>
    <t>Risque Chimique</t>
  </si>
  <si>
    <t>- Possiblité de fusionner les fichers déjà existants du suivi de la traçabilité des dechets dangereux avec la plateforme "Trackdéchets" pour être conforme à la règlementation au 1er janvier 2023,
- Information "Trackdéchets" disponible sur l'intranet : http://intra.dram-mediterranee.i2/tracabilite-des-dechets-dangereux-a2182.html</t>
  </si>
  <si>
    <t>Informations accessibles sur la plateforme TRACKDECHETS par obligation règlementaire conformément au décret 2021-321 relatif à la traçabilité des déchets dangereux, applicable au 1er janvier 2022
 lien: https://trackdechets.beta.gouv.fr/</t>
  </si>
  <si>
    <t>Déchets pouvant génerer une nuisance à l'Homme et/où l'environnement selon les élements composants le produit.</t>
  </si>
  <si>
    <t>Absence de suivi de traitement des déchets dangereux &amp; des déchets POP (Polluants Organiques Persistants).</t>
  </si>
  <si>
    <t>Infection, irritation, brûlure chimique, allergie.</t>
  </si>
  <si>
    <t>Inhalation, contact cutané, ingestion accidentelle possible de produits toxiques* dû à de mauvaises conditions de protection,  de traitement/manipulation, de stockage, de transport ou d’élimination.
*Agents chimiques Dangereux (à l’état solide, liquide ou gazeux) présents dans les : cartouches d’encre, produits ménager, produits d’entretien de véhicules, revêtements de sol….</t>
  </si>
  <si>
    <t>Irritation, brûlure chimique, allergie.</t>
  </si>
  <si>
    <t>Inhalation d’hydrogène/acide sulfurique dégagé par les batteries stationnaires à électrolyte liquide lors de la maintenance (charge, remplissage, contrôle) le remplacement et la manutention.</t>
  </si>
  <si>
    <t>- Lors d’opération de nettoyage, décapage de supports : composés de produits toxiques comme l’acide.
- Utilisation de fontaine à dégraissant.</t>
  </si>
  <si>
    <t>- Protections collective : container de stockage (Toulon, Marseille, Ajaccio), collecte et lecture des fiches données sécurité (FDS) : respect des consignes et vérification des compatibilités de stockage, recherche de produits de substitution.
- Port des EPI conseillés dans les FDS, signalisation et étiquetage.
- Lavage des mains pour se décontaminer et éviter de contaminer les autres.</t>
  </si>
  <si>
    <t>- Ventilation des locaux + port des EPI conseillés dans les FDS.
- Lavage des mains pour se décontaminer et éviter de contaminer les autres.</t>
  </si>
  <si>
    <t>Pathologies liées à l’amiante (asbestose, cancer du poumon, mésothéliome.), plaques pleurales.</t>
  </si>
  <si>
    <t>Inhalation accidentelle de fibres d’amiante en suspension dans l’atmosphère, due :
à la présence de matériaux et produits contenant de l’amiante (MPCA) friables ou dégradés dans les locaux, bâtiments, ou équipements non diagnostiqués (défaut ou absence de DTA), y compris à bord de navires ou sur sites déportés ;
à l’intervention malencontreuse d’un agent ou d’un tiers sur des MPCA par manque d’identification, d’information ou de signalisation préalable.</t>
  </si>
  <si>
    <t>Risque Amiante</t>
  </si>
  <si>
    <t>1. Communication du DTA du site à tout prestataire/intervenant (prévu par le plan de prévention en cas de co-activité) afin de justifier la non présence d’amiante,
2. Réaliser un repérage avant travaux (obligatoire cf.arrêté du 16 juillet 2019*) afin de rechercher la présence d’amiante dans le bâti, préalablement à toute opération comportant des risques d’exposition des travailleurs.
*Obligatoire au préalable à tous travaux ou intervention, même si auparavant un repérage a était réalisé. La liste de recherche des matériaux et produits contenants de l’amiante avant travaux (liste C non exhaustive) et plus approfondie et s’étend jusqu’au matériau caché dans les supports de constructions.</t>
  </si>
  <si>
    <t>1. Réalisation de repérages des MPCA puis constitution des dossiers techniques amiante (DTA = synthèse des diagnostics et actions) par site.
2. Communication de repérages au CP (voir document attaché) pour actualiser le tableau de synthèse mis en ligne sur l’intranet (dont le but est de : faciliter la consultation de l’historique par site et permettre l’identification des matériaux/produits contenants de l’amiante et donc éviter toute intervention malencontreuse dessus ou à proximité).
3. Consigne reçue: Les interventions et/ou retraits de produits ou matériaux contenants de l’amiante (friable et non friable) sont non autorisés en régie (code du travail SS3 et SS4).
NB : L’évaluation de l’état de dégradation par un opérateur certifié des matériaux/produits amiantés identifiés est recommandée tous les 36 mois.</t>
  </si>
  <si>
    <t>1. Mise en œuvre et suivi des recommandations du diagnostiqueur (exemple : surveillance de l’état de dégradation des MCA détectés, recherche de la cause de la dégradation, mesures d’empoussièrement, mesures correctives...).
2. Contrôle périodique d’évaluation de l’état de dégradation des matériaux/produits amiantés identifiés à réaliser (par un opérateur certifié recommandé tous les 36 mois),
3. Communication du DTA du site à tout prestataire/intervenant (prévu par le plan de prévention en cas de co-activité),
4. Identifier (par une signalétique à poser) les MCA afin d’éviter toute intervention par inadvertance (Cf. mesure existante),
5. Réaliser un repérage avant travaux (obligatoire cf.arrêté du 16 juillet 2019) afin de rechercher la présence d’amiante dans le bâti, préalablement à toute opération comportant des risques d’exposition des travailleurs.
6. Poursuite des repérages sur les sites non diagnostiqués (à communiquer au CP).
7. Documents individuels de traçabilité amiante à renseigner pour les travailleurs potentiellement exposés.</t>
  </si>
  <si>
    <t>CYRILLE SZENKER</t>
  </si>
  <si>
    <t>Sites SPB secteur Bonifacio</t>
  </si>
  <si>
    <t>COB Bonifacio - sites du secteur</t>
  </si>
  <si>
    <t>1. Réalisation de repérages des MPCA puis constitution des dossiers techniques amiante (DTA = synthèse des diagnostics et actions) par site.
2. Mise en œuvre et suivi des recommandations du diagnostiqueur (exemple : surveillance de l’état de dégradation des MCA détectés, recherche de la cause de la dégradation, mesures d’empoussièrement, mesures correctives...).
3. Communication des derniers éléments relatifs à l’amiante (exemple : repérages, mise à jour DTA/fiches récapitulatives, plan de retrait, R.A.T..) au CP pour actualiser le tableau de synthèse mis en ligne sur l’intranet (dont le but est de : faciliter la consultation de l’historique par site et permettre l’identification des matériaux/produits contenants de l’amiante et donc éviter toute intervention malencontreuse dessus ou à proximité).
4. Consigne reçue: Les interventions et/ou retraits de produits ou matériaux contenants de l’amiante (friable et non friable) sont non autorisés en régie (code du travail SS3 et SS4).
NB : L’évaluation de l’état de dégradation par un opérateur certifié des matériaux/produits amiantés identifiés est recommandée tous les 36 mois.</t>
  </si>
  <si>
    <t>COB Bonifacio</t>
  </si>
  <si>
    <t>Observation</t>
  </si>
  <si>
    <t>Échéance</t>
  </si>
  <si>
    <t>Etat d'avancement</t>
  </si>
  <si>
    <t>Mesures A proposer</t>
  </si>
  <si>
    <t>Priorité finale 2</t>
  </si>
  <si>
    <t>Calcul priorité</t>
  </si>
  <si>
    <t>Moyen de Maitrise</t>
  </si>
  <si>
    <t>Mesure Existante</t>
  </si>
  <si>
    <t>Priorité initiale</t>
  </si>
  <si>
    <t>Gravité</t>
  </si>
  <si>
    <t>Fréquence</t>
  </si>
  <si>
    <t>Responsable</t>
  </si>
  <si>
    <t>Dommage</t>
  </si>
  <si>
    <t>Situation dangereuse</t>
  </si>
  <si>
    <t xml:space="preserve">Risque </t>
  </si>
  <si>
    <t>Numéro risque</t>
  </si>
  <si>
    <t>Site</t>
  </si>
  <si>
    <t>Service</t>
  </si>
  <si>
    <t xml:space="preserve">Unité </t>
  </si>
  <si>
    <t>Depuis le 1er juillet 2018, la réglementation intègre ce risque dans la démarche de prévention des risques professionnels.
Ainsi, tous les lieux de travail situés en sous-sol ou en rez-de-chaussée doivent faire l’objet d’un dépistage radon, soit par l’employeur lui-même soit par un prestataire agréé. Le but recherché étant de réduire les concentrations aussi bas que possible dans les locaux dans lesquels les agents séjournent sur des durées importantes.
Focus à faire pour la Corse du sud et département du 06</t>
  </si>
  <si>
    <t xml:space="preserve">* Tout moyen de communication permettant un contact régulier, fréquent et un suivi à distance avec l’intervenant isolé, protocole de signalement (début d’intervention, fin d’intervention).
- Mesures définies dans le CR de la réunion GT travail isolé 2016
- Les conclusions des différentes expérimentations et évaluations notifiées dans le CR point « 7.Suites », ont été  présentées au CHSCT du 22/11/16.
- La disponibilité des dispositifs technique d’alarme adapté (DATI, PTI), n’est pas totalement garantie en cas de mauvaise couverture du réseau GSM ou de panne.
- Intervention en binôme en cas de travaux évalués dangereux.
</t>
  </si>
  <si>
    <t>Denière MAJ</t>
  </si>
  <si>
    <t>Affichage des consignes + signalétique.</t>
  </si>
  <si>
    <t>* Consignation des circuits électriques commandés par inverseur de sources, automates et réenclencheurs auto avant toute intervention,  entretien et vérification,
- respect des procédures d’arrêt (déverrouillage mécanique,..).
- Vérification périodique des installations (ascenseurs, barrières, portes, rideaux, automatiques..) et maintenance des installations automatiques (attente du dernier contrôle pour les sites équipés).
- Suivi des contrôles périodique réglementaires et de la maintenance des installations automatiques (à renseigner dans la fiche sécurité du DUERP).</t>
  </si>
  <si>
    <t>* Maintient des carters et protections des organes en mouvement,
- port des EPI indiqués dans les manuels fabricants, respect des consignes de sécurité.
- Port d’équipements de protection individuel oculaires à correction adaptée.
- Contrôle règlementaire et cahier d'entretien</t>
  </si>
  <si>
    <t xml:space="preserve">Pour l'ensemble des COB, ils n'utilisent plus que des batteries étanches </t>
  </si>
  <si>
    <t xml:space="preserve">Vérifier si certains COB ont encore un stock d'acide </t>
  </si>
  <si>
    <t>* Respect du code de la route, prise en compte des recommandations de la prévention routière sur les temps de repos,
- vérification visuelle du véhicule avant chaque déplacement,
- préparation des déplacements,
- suivi et entretien régulier des véhicules, contrôle technique,
- utilisation des outils de (télé)communications (internet, visioconférence) permettant d’éviter certains déplacements,
- trajets sur autoroutes privilégiés (cartes de télépéages généralisées),
- respect de la charte sur l’utilisation des véhicules de service 
- covoiturage,
- conduite des véhicules équipés de boite auto, régulateur de vitesse appréciés.
- en cas de panne, accident, crevaison, panne/erreur de carburant, vol/vandalisme, perte de clés/carte démarrage contacter le n° d’assistance inscrit dans les pochettes véhicules.
- En cas de panne ou d’accident : port du gilet fluorescent, triangle de signalisation, maintien à distance de la chaussée dans l’attente de l’assistance.</t>
  </si>
  <si>
    <t>Habilitation électrique du personnel (Analyse de l’activité, vérification des compétences, formation initiale et recyclage, désignation et délivrance du titre signé, mise à jour de la liste du DUERP.)
*Interventions uniquement réalisées par du personnel habilité BR ou BC selon la nature des travaux.
*Application des procédures de consignation et d’intervention hors tension.
*Respect des consignes d’intervention : utilisation des outils isolés, des dispositifs de protection (VAT, écrans, barrières) et des EPI adaptés ; interdiction du port de bijoux et suspension des interventions en cas d’intempéries.
*Qualification et accompagnement des nouveaux arrivants (compagnonnage, formation sécurité).
*Signalisation claire des zones à risque et affichage des consignes/instructions.
*Maintenance planifiée avec vérification régulière des installations, des protections, des sectionneurs et de la bonne exécution des consignations avant reconnexion.
*Respect des règles spécifiques aux batteries stationnaires : analyse préalable des installations, formation adaptée selon la tension et la capacité, pose de sectionneurs adaptés et respect des règles de transport et de manutention (pôles protégés).</t>
  </si>
  <si>
    <t>Nettoyage de la surface des quais de débarquement.
Port des EPI recommandés.
Coordination avec le pilote.
Prise en compte des conditions météorologiques.
Prise en compte des difficultés d’accès pour orienter le type de matériel à installer (ex. : matériel plus léger).</t>
  </si>
  <si>
    <t>Habilitation pour le montage et le démontage : Formations au montage, démontage, utilisation et vérification selon la recommandation R408 (échafaudages sur pied) et R457 (roulants), avec attestations obligatoires.
Organisation et procédures : Fiche procédure « travaux en hauteur » disponible sur l’intranet. Modes opératoires : ne pas monter chargé (fractionnement des charges). Travail uniquement en conditions météorologiques favorables.
Protections collectives : Installation, entretien et vérification avec attestation quotidienne des crinolines, garde-corps et échafaudages.
Protections individuelles / compétences : Suivi et vérification des EPI pour les travaux en hauteur et sur corps morts. Journées annuelles de pratique pour les équipes concernées. Formation périodique tous les 5 ans (plan DIRM MED).</t>
  </si>
  <si>
    <t>Signalisation des risques et des locaux réservés aux électriciens.
Une instruction de sécurité (sous forme de consignes ou d’affichage) est conseillée en présence de réenclencheurs, d’onduleurs, de convertisseurs ou de groupes électrogènes.
Se renseigner sur les habilitations spécifiques aux batteries lithium.</t>
  </si>
  <si>
    <t>Généralisation des mesures existantes :
*Meilleure préparation des déplacements.
*Utilisation de véhicules adaptés aux missions et aux sites (sous-crocs Aspreto) ; certains sites doivent encore être équipés de pneus de meilleure qualité.
*Établir et/ou diffuser un plan de circulation et de stationnement par site.
*Équiper les véhicules de lingettes nettoyantes pour vitres (visibilité, buée).
*PPRR à finaliser ; sensibilisation aux risques routiers et organisation de stages.</t>
  </si>
  <si>
    <t>Le CP propose aux services de réaliser dans un premier temps des campagnes de dépistage pour les sites des communes à potentiel radon élevé, notamment dans les parties de bâtiments situées en sous-sol ou en rez-de-chaussée où le personnel séjourne sur des durées importantes.</t>
  </si>
  <si>
    <t>Démarche et consignes à généraliser :
Préventif : analyses de l’eau ; surveillance de la température de l’eau chaude sanitaire (45 °C minimum en sortie de robinet, douches, etc.).
Curatif : choc thermique ; chloration.</t>
  </si>
  <si>
    <t>Formation des nouveaux arrivants.
Généraliser les protections individuelles oculaires à correction adaptée en fonction des besoins évalués.
Mise en place de protections sur les parties tranchantes lorsque l’appareil n’est pas utilisé.</t>
  </si>
  <si>
    <t>Analyse typologique des sites (ESM).
Évaluation des conditions d’accès pour chaque ESM.
Pour les sites concernés, signaler la présence et l’état structurel des cuves à eau souterraines (balisage des emplacements) afin d’éviter tout effondrement dû à une surcharge en cas de stationnement de véhicules, de stockage de charges, etc. ; consignes à formaliser.
Travail sur l’harmonisation des méthodes.
Prise en compte des contre-indications physiques émises par les médecins.
Nécessité d’informer les autorités portuaires selon les ESM concernés.</t>
  </si>
  <si>
    <t>Port d’un masque FFP3 (filtration des particules fines).
Études en cours sur certains sites.</t>
  </si>
  <si>
    <t>Repérer les écarts dans la maîtrise des outils numériques au sein des équipes et former les agents qui en ont besoin.
Identifier les éventuels sentiments d’inégalité ou d’iniquité de traitement dans l’accès au télétravail, dans la répartition de la charge de travail, et échanger pour lever les incompréhensions.
Organiser régulièrement des réunions d’équipe complètes, dans la mesure du possible en présentiel.
Consulter la brochure d’information accessible sur l’intranet concernant les risques liés au télétravail.</t>
  </si>
  <si>
    <t>Mettre en place une formation PRAP (Prévention des risques liés à l’activité physique).
Réaliser une étude ergonomique et/ou adapter les postes de travail si nécessaire (voir avec le CP).
Assurer un suivi des équipements disponibles sur le sujet et des dispositifs mis en place pour chaque COB.</t>
  </si>
  <si>
    <t>Poursuivre l’analyse du risque : exploitation des FDS (effets sur la santé, stockage, EPI recommandés, etc.), mise en place d’un document de synthèse et recherche de produits de substitution.
Assurer la traçabilité des expositions : intégration des données collectées à partir des FDS de chaque produit utilisé dans la fiche individuelle de prévention des expositions à certains facteurs de risques (mise à jour annuelle).
Mise aux normes des locaux de peinture et de stockage ; réalisation des travaux de peinture en extérieur à généraliser.
Sensibilisation au respect des consignes de sécurité liées aux FDS.</t>
  </si>
  <si>
    <t>Poursuivre l’analyse du risque : exploitation des FDS (effets sur la santé, stockage, EPI recommandés, etc.), mise en place d’un document de synthèse et recherche de produits de substitution.
Assurer la traçabilité des expositions : intégration des données collectées à partir des FDS de chaque produit utilisé dans la fiche individuelle de prévention des expositions à certains facteurs de risques (mise à jour annuelle).
Mise aux normes des locaux de peinture et de stockage ; réalisation des travaux de peinture en extérieur à généraliser.</t>
  </si>
  <si>
    <t>Consignes au personnel : rédaction d’un permis de feu lors de travaux par point chaud réalisés en dehors des postes permanents de travail du service.
Vigilance lors de ces travaux (utilisation de fer à souder, décapeur thermique, soudure à l’arc, meulage, etc.).</t>
  </si>
  <si>
    <t>Utilisation des outils conformément à leur usage prévu.
Généraliser les protections individuelles oculaires à correction adaptée en fonction des besoins évalués.</t>
  </si>
  <si>
    <t xml:space="preserve">Vérification régulière de la bonne ventilation des installations (locaux techniques, véhicules).
Vérification régulière des systèmes d’échappement dans les locaux accueillant des groupes électrogènes </t>
  </si>
  <si>
    <t xml:space="preserve">* Périodes de nettoyage et de rangement à intégrer au planning.
- Généralisation des revêtements antidérapants sur les nez de marches et de pose de signalétique indiquant le danger.
- Anticipation de l’espace d’archivage (y compris archives vivantes).
- Pose systématique de trépied de sécurité (sol glissant) après nettoyage des sols (responsabilité du personnel de nettoyage).
</t>
  </si>
  <si>
    <t>* Amélioration de la ventilation au poste de travail : faire un suivi de la conformité des lieux de stockage
- Sensibilisation et rappel : poursuite de l’analyse du risque et traçabilité des expositions, bonnes pratiques (intégration des données collectées sur les FDS de chaque produit utilisé dans la fiche individuelle de prévention des expositions à certains facteurs de risques (mise à jour annuelle).) .</t>
  </si>
  <si>
    <t>Précautions, diffusées par le CP (mail 20/05/16) 
- Respect de la procédure d’entretien d’une cuve à mercure CETMEF (CEREMA) pour les travaux de maintenance des cuves à mercure et en cas de débordement: ventilation, port des EPI (Masques Hgp3, gants, combinaison jetable), précautions d’hygiène, contrôle de la température...
Contrôle périodique et tableau de suivi spécifique 
Outil national de priorisation des sites dont le mercure doit être retiré
*Actualisation annuelle de la cartographie des sites encore équipés de cuves à mercure et suivi de l’avancement de leur suppression.</t>
  </si>
  <si>
    <t>*Suppression progressive des cuves à mercure lorsque cela est techniquement possible.
*Application stricte de la procédure d’entretien et d’intervention sur cuves à mercure (CETMEF/CEREMA), incluant ventilation du local, port systématique des EPI adaptés (masque HGp3, gants, combinaison jetable) et respect des précautions d’hygiène.
*Mise à disposition et vérification périodique du matériel de protection respiratoire adapté (HGp3).
*Mise à disposition sur site d’un moyen de contrôle de température et vérification de son bon fonctionnement.
*Formation et information du personnel intervenant sur le risque mercure, les procédures de travail et la conduite à tenir en cas d’incident (débordement, contamination).
*Limitation du temps d’exposition au strict nécessaire lors des interventions sur les cuves (travaux de maintenance planifiés et encadrés).
*Réalisation périodique de mesures d’exposition selon la stratégie de prélèvement définie, avec présentation des résultats en F3SCT.
*Information systématique des entreprises extérieures et partenaires intervenant sur les sites concernés via le plan de prévention ou la convention d’accès.
*Mise en œuvre d’une procédure d’urgence en cas de débordement : isolement de la zone, ventilation, port des EPI, alerte hiérarchie, suivi médical en cas de suspicion d’exposition.
*Gestion sécurisée du stockage : inventaire des quantités, absence de stockage dans les phares, utilisation de contenants homologués, étiquetage réglementaire, respect des conditions de transvasement.</t>
  </si>
  <si>
    <t xml:space="preserve">* Consultation du MDP (renseignements sur la vaccination : tetanos).
*Consulter les mesures individuelles de protection de la fiche prévention sur l’intranet.
*Limiter la pullulation des rongeurs.
</t>
  </si>
  <si>
    <t>5. NAVIRE DCS</t>
  </si>
  <si>
    <t>PATROUILLEUR GYPTIS</t>
  </si>
  <si>
    <t>Secteur d'intervention du navire et de son équipage</t>
  </si>
  <si>
    <t>GUY.F- LE GUILLOU.R</t>
  </si>
  <si>
    <t>&gt; Attestation du 25/04/2022 du chargé d’affaires Océa (constructeur du navire), certifiant l’absence d’amiante dans l’ensemble du patrouilleur, conformément à la convention SOLAS qui interdit l’usage de l’amiante dans la construction navale à partir du 01/07/2002.
&gt; Lors des contrôles : demande du dossier technique amiante existant.</t>
  </si>
  <si>
    <t>Déchets pouvant génerer une nuisance à l'Homme et/oùl'environnement selon les élements composants le produit.</t>
  </si>
  <si>
    <t>&gt; Informations accessibles sur la plateforme TRACKDÉCHETS, conformément au décret 2021-321 relatif à la traçabilité des déchets dangereux, applicable au 1er janvier 2022.
&gt; Lien : https://trackdechets.beta.gouv.fr/</t>
  </si>
  <si>
    <t>Lors de travaux d'entretien et maintenance, nettoyage des locaux : Inhalation, contact cutané, ingestion accidentelle de produits toxiques* dû à de mauvaises conditions de protection, de traitement/manipulation, de stockage, de transport ou d’élimination.</t>
  </si>
  <si>
    <t>Irritation, intoxication, inhalations toxiques, infection, brûlure chimique, allergies.</t>
  </si>
  <si>
    <t>&gt; Collecte et lecture des fiches de données de sécurité (FDS) : port des EPI recommandés, respect des consignes et vérification des compatibilités de stockage, recherche de produits de substitution.
&gt; Lavage des mains pour se décontaminer et éviter de contaminer les autres.
&gt; Collecte et lecture des fiches de données de sécurité (FDS) : port des EPI recommandés, respect des consignes et vérification des compatibilités de stockage, recherche de produits de substitution, pour intégration dans le FPE --&gt; contrôlé lors des visites de sécurité.</t>
  </si>
  <si>
    <t xml:space="preserve">Lors du travail en salle des machines, présence de graisses, huiles, additif (Adblue), gas-oil (ex: lors des vidanges) salissures.
</t>
  </si>
  <si>
    <t>Irritation, intoxication, brûlures, inhalations toxiques._x000D_</t>
  </si>
  <si>
    <t>Port des EPI</t>
  </si>
  <si>
    <t>Pour les opérations de vidange (AdBlue), les EPI à disposition des agents ne sont pas adaptés (irritations des yeux et de la gorge). Le bord doit se doter de masques de protection plus adaptés.</t>
  </si>
  <si>
    <t>Inhalation de gaz dégagé par les batteries d'accumulateurs au gel lors de contrôle des éléments (peu probable mais possible).</t>
  </si>
  <si>
    <t>Irritation, brûlures, inhalations toxiques.</t>
  </si>
  <si>
    <t>Lavage des mains pour se décontaminer et éviter de contaminer les autres.
Maintenance, manutention et remplacement des batteries/accus (travaux sous tension) réalisés par un prestataire sous contrat.</t>
  </si>
  <si>
    <t>&gt; Laisser ventiler le local avant les contrôles.
&gt; Collecte et lecture des fiches de données de sécurité (FDS) : port des EPI recommandés, respect des consignes et vérification des compatibilités de stockage, pour intégration dans la FPE.
&gt; Opérations possibles sur batteries/accus par un chargé d’intervention (BR) :
&gt; Connexion/déconnexion circuit ouvert (hors charge, dans ce cas vérifier l’organe d’ouverture).
&gt; Manutention uniquement sur bornes protégées contre les contacts directs.</t>
  </si>
  <si>
    <t>Lors de travaux d'entretien et de maintenance courante et lors de l'arrêt technique du PAM : Inhalation, contact cutané, ingestion accidentelle de produits CMR dû à de mauvaises conditions de protection, de traitement/manipulation, de stockage, de transport ou d’élimination (solvants, certaines peintures, hydrocarbures, GASOIL…). 
- Exposition aux hydrocarbures (tous types de moteurs thermiques) : stockage, transport, manipulation de carburant._x000D_</t>
  </si>
  <si>
    <t>&gt; Collecte et lecture des fiches de données de sécurité (FDS) : identification des divers dangers, port des EPI recommandés, respect des consignes et vérification des compatibilités de stockage.
&gt; Lavage des mains pour se décontaminer et éviter de contaminer les autres.</t>
  </si>
  <si>
    <t>&gt; Réduction, voire suppression, de l’utilisation de produits chimiques CMR à bord du navire.</t>
  </si>
  <si>
    <t>Préparation ou réchauffage des repas : utilisation d’éléments chauffants (fours, friteuses, plaques de cuisson, grills…).</t>
  </si>
  <si>
    <t>Brûlures superficielles ou profondes, lésions oculaires</t>
  </si>
  <si>
    <t>&gt; Respect des consignes, port des EPI (ex. : gants anti-chaleur) indiqués sur les notices/manuels d’utilisation des fabricants d’équipements.
&gt; Utilisation des systèmes anti-roulis.
&gt; Extincteur et couverture anti-feu à proximité.
&gt; Installation de barrière de sécurité</t>
  </si>
  <si>
    <t>Lors de ronde/travail en salle des machines, à proximité d’éléments chauds, rupture de tuyauteries.</t>
  </si>
  <si>
    <t>&gt; Information, respect des consignes, port des EPI.
&gt; Parties chaudes calorifugées.
&gt; Danger : points chauds ; maintien en état des calorifuges.</t>
  </si>
  <si>
    <t>Lors de travaux d'entretien, maintenance, soudage, coups d'arc, piquage, meulage, tronçonnage : projection de particules._x000D_</t>
  </si>
  <si>
    <t>Information, permis de travail dangereux, respect des consignes, port des EPI.</t>
  </si>
  <si>
    <t>Utilisation de lance-amarres, signaux de détresse</t>
  </si>
  <si>
    <t>Information, respect des consignes, port des EPI.</t>
  </si>
  <si>
    <t>&gt; Remplir un permis de travail dangereux avant de travailler sur une installation électrique.
&gt; Maintenance, manutention et remplacement des batteries/accus (travaux sous tension) réalisés par un prestataire sous contrat.
&gt; La connectique des 6 panneaux photovoltaïques (sources d’énergie autonomes) est conforme, nettoyage sans risque.
&gt; Les agents réalisant des interventions électriques doivent être habilités et porter leurs EPI lors des opérations (en complément, une instruction permanente de sécurité peut faire l’objet d’un affichage).
&gt; Manutention uniquement sur bornes vérifiées par VAT.
&gt; Mise en place de cadenas et équipements électriques consignés.</t>
  </si>
  <si>
    <t>&gt; Vérifier et maintenir la signalisation du risque.</t>
  </si>
  <si>
    <t>&gt; Vérification visuelle de l’état du matériel électrique.
&gt; Acquisition de matériel conforme à la norme en vigueur, respect de la puissance maximale indiquée sur les prolongateurs et multiprises.
&gt; Maintenance périodique des installations électriques.
&gt; Remplir un permis de travail dangereux avant de travailler sur une installation électrique.
&gt; Maintien des portes des tableaux et coffrets en position fermée.
&gt; Habilitation électrique de tous les agents en lien avec leur fonction à bord du PAM.
&gt; Suivi de la maintenance périodique et de la vérification du matériel normalisé.
&gt; Opérations possibles sur batteries/accus par un chargé d’intervention (BR) :
=&gt; Connexion/déconnexion circuit ouvert (hors charge),
=&gt; Manutention uniquement sur bornes protégées contre les contacts directs.</t>
  </si>
  <si>
    <t>Risque d’explosion de munitions ou armes stockées à bord</t>
  </si>
  <si>
    <t>Brûlures/blessures et sauvegarde du navire</t>
  </si>
  <si>
    <t>&gt; Information, exercices incendie réguliers.
&gt; Conditionnement en armoire</t>
  </si>
  <si>
    <t>Brûlures/blessures...</t>
  </si>
  <si>
    <t>&gt; Maintien des portes (local batteries) fermées.
&gt; Ne pas porter d’éléments conducteurs (bracelet, montre, bague…).
&gt; Laisser reposer après la charge avant transport.
&gt; Charge dans un local suffisamment ventilé (voir normes et recommandations fabricant, FDS).
&gt; Outils de connexion isolés (clés, tournevis).</t>
  </si>
  <si>
    <t>&gt; Respect et maintien de la conformité incendie, information, respect des consignes.
&gt; Remplir un permis de travail dangereux.
&gt; Extincteur à proximité.
&gt; Entraînement à la lutte contre le feu (exercice incendie).</t>
  </si>
  <si>
    <t>&gt; Connexion/déconnexion circuit ouvert (hors charge).
&gt; Manutention uniquement sur bornes protégées contre les contacts directs.
&gt; Ne pas porter d’éléments conducteurs (bracelet, montre, bague…).
&gt; Charge dans un local suffisamment ventilé.
&gt; Outils de connexion isolés (clés, tournevis).
&gt; Vérification visuelle de l’état du matériel électrique (ex. : prolongateurs) avant usage, signalement de l’état du matériel endommagé à la hiérarchie et remplacement.
&gt; Acquisition de matériel conforme à la norme en vigueur, respect de la puissance maximale indiquée sur les prolongateurs et multiprises.
&gt; Maintenance périodique des installations électriques.
&gt; Maintien des portes des tableaux et coffrets en position fermée.</t>
  </si>
  <si>
    <t>Projecteurs LED ponts à forte luminance.</t>
  </si>
  <si>
    <t>Conséquences d'un éblouissement (chute, trébuchement, manque de vigilance temporaire...)</t>
  </si>
  <si>
    <t>Réglettes d’éclairage intermédiaires (indirectes) installées en parties basses sur ponts.</t>
  </si>
  <si>
    <t>Brûlures, lésions graves à légères.</t>
  </si>
  <si>
    <t>Suivi du stock et enlèvement fusées périmées, information, respect des consignes, port des EPI.</t>
  </si>
  <si>
    <t>Coupures, contusions, écrasement, lésion de la peau, atteintes oculaires.</t>
  </si>
  <si>
    <t>Port des EPI recommandés sur les notices fabricants, respect des consignes d’utilisation._x000D_</t>
  </si>
  <si>
    <t>Utilisation d’ustensiles, électroménager de cuisine mécanique, tranchants..</t>
  </si>
  <si>
    <t>Coupures, lésions.</t>
  </si>
  <si>
    <t>&gt; Respect des consignes, port d’EPI.
&gt; Utilisation des systèmes anti-roulis.</t>
  </si>
  <si>
    <t>Lors de l’utilisation d’armes à feu sur stand de tir agréé sous convention.</t>
  </si>
  <si>
    <t>Dommages liés au maniement des armes : brûlures, blessure par balle, lésion oculaires, décès._x000D_</t>
  </si>
  <si>
    <t>Information, respect de la note tchnique du 6 septembre 2019 relative à l'armement au sein des unités du dispositif de surveillance et de contrôle des affaires maritimes, port des EPI.</t>
  </si>
  <si>
    <t>Rupture accidentelle de canalisations en salle des machines</t>
  </si>
  <si>
    <t>Information, respect des consignes, port des EPI, surveillance de l’état du matériel.</t>
  </si>
  <si>
    <t>Postures contraignantes lors des travaux d'entretien ou de maintenance agravées ou induites par les mouvements répétés et parfois violents du navire/annexe imposés par les mouvements de la mer</t>
  </si>
  <si>
    <t>Faux mouvements, lésions périarticulaires, douleurs dorso-lombaire, tendinites, maladies professionnelle.</t>
  </si>
  <si>
    <t>&gt; Formation gestes et postures envisageable si adaptée aux caractéristiques spécifiques du travail à bord du navire.
Information sur la prévention du risque lié à l’activité physique (PRAP, G&amp;P…).
&gt; Recherche d’EPI.</t>
  </si>
  <si>
    <t xml:space="preserve">Mouvements répétés et parfois violents du navire/annexe imposés par les mouvements de la mer : roulis ou tangage
</t>
  </si>
  <si>
    <t>Douleurs musculaires, lombalgies, traumatismes articulaires (genoux, hanches)._x000D_</t>
  </si>
  <si>
    <t>&gt; Adapter autant que faire se peut la vitesse et la route du navire/annexe.
&gt; Fauteuils « suspendus » en passerelle.</t>
  </si>
  <si>
    <t>Possibilité d’effets à long terme et aléatoires.</t>
  </si>
  <si>
    <t>Radar stoppées avant accès sur le toit de la timonerie</t>
  </si>
  <si>
    <t>Manutention de lignes, aussières, chaînes, câbles ou matériels lors des opérations d’amarrage/largage, de mouillage/relevage et de remorquage/prise de remorque.</t>
  </si>
  <si>
    <t>Douleurs dorso-lombaire, coincement, écrasement, entraînement accidentel.</t>
  </si>
  <si>
    <t>Information, respect des consignes (surveillance mutuelle), port des EPI</t>
  </si>
  <si>
    <t>Au besoin dotation en harnais de force (prévention protection lombaires) voir avec le CP.</t>
  </si>
  <si>
    <t>Manutention et port de charges courantes</t>
  </si>
  <si>
    <t>Douleurs dorso-lombaire, tendinites, contusions, coincement, écrasement._x000D_</t>
  </si>
  <si>
    <t>&gt; Information, respect des consignes, port des EPI.
&gt; Fractionnement des charges dans la mesure du possible.</t>
  </si>
  <si>
    <t>&gt; Étude du conditionnement à la commande.
&gt; Au besoin, dotation en harnais de force (prévention/protection lombaires) à voir avec le CP.</t>
  </si>
  <si>
    <t>Tous dommages liés au heurt par une masse en mouvement (annexe, grue, croc)</t>
  </si>
  <si>
    <t>&gt; Information, respect des consignes, port des EPI.
&gt; Zonage</t>
  </si>
  <si>
    <t>Risques de collision avec un engin de manutention lors des contrôles sur les navires (panneau chalutiers, chariot élévateurs) ou les structures à terre.</t>
  </si>
  <si>
    <t>Tous dommages liés au heurt par une masse en mouvement.</t>
  </si>
  <si>
    <t>Information, respect des consignes, vigilance, port des EPI.</t>
  </si>
  <si>
    <t>Mouillage/relevage de l'ancre</t>
  </si>
  <si>
    <t>Coincement, écrasement, entraînement accidentel par les pièces en mouvement, projection 
de poussière dans les yeux.</t>
  </si>
  <si>
    <t>?</t>
  </si>
  <si>
    <t>Lors de rondes ou travail en salle des machines.</t>
  </si>
  <si>
    <t>Entraînement accidentel par pièces mobiles des moteurs (courroie, arbre d’entraînement…), écrasement._x000D_</t>
  </si>
  <si>
    <t>Protection des organes en mouvement par des carters (dispositifs de protection) et vigilance._x000D_</t>
  </si>
  <si>
    <t>Virage des engins de pêche avec vire filet.</t>
  </si>
  <si>
    <t>Douleurs dorso-lombaire, contusions, coincement, écrasement.</t>
  </si>
  <si>
    <t>&gt; Information, respect des consignes, port des EPI.
&gt; Surveillance mutuelle.</t>
  </si>
  <si>
    <t>Atmosphères dangereuses en espaces clos / navires / volumes confinés</t>
  </si>
  <si>
    <t>Asphyxie et autres dommages liés à l’excès de CO (monoxyde de carbone).</t>
  </si>
  <si>
    <t>&gt; Espaces clos repérés et fermés, respect des consignes, permis de travail dangereux.
&gt; Avant opérations de visite des espaces clos : ventilation, contrôle des teneurs en monoxyde de carbone, balisage.
&gt; Pendant les opérations de visite des espaces clos : conserver la ventilation, surveillant extérieur, limitation de la durée.</t>
  </si>
  <si>
    <t>&gt; Acquisition d’un détecteur monogaz (monoxyde de carbone) ou utilisation de ceux du CSN PACA-Corse.
&gt; Utilisation de masque ventilé.</t>
  </si>
  <si>
    <t>En cas de mouvements répétés et parfois violents du navire/annexe imposés par les mouvements de la mer : roulis ou tangage</t>
  </si>
  <si>
    <t>Lésions corporelles de légères à graves.</t>
  </si>
  <si>
    <t>&gt; Utilisation des systèmes anti-roulis.
&gt; Stockage organisé (calage, pas de charge en hauteur).
&gt; Adaptation de la mission aux conditions météorologiques.</t>
  </si>
  <si>
    <t>Embarquement/débarquement depuis un ponton
Récupération d'hommes à la mer (ex : intervention sur un sauvetage) à partir de l'embarcation principale ou l'annexe
Embarquement/débarquement/accostage des navires contrôlés - utilisation des échelles de quai
Opérations de contrôle : utilisation de l'annexe, utilisation d’échelle de quai ou accostage
Lors des différentes manœuvres et opérations sur aires de manœuvres
Voie d'eau (abordage, collision avec élément extérieur sur coque ou rupture de vanne)
Collision avec d'autres navires, submersion du navire</t>
  </si>
  <si>
    <t>&gt; Respect des consignes d’intervention.
&gt; Port des EPI contre la noyade (VFI, gilet, …).
&gt; Balise de Localisation Personnelle (BLP).
&gt; Adaptation de la mission aux conditions météorologiques.
&gt; Maintien en état de conformité du navire, formation du personnel de quart passerelle.
&gt; Exercices réguliers : environ 3 exercices par an.
&gt; Suivi de la formation CFBS (recyclage tous les 5 ans).
&gt; Tableau de suivi des exercices réalisés.</t>
  </si>
  <si>
    <t xml:space="preserve">Situation de forte chaleur (canicule) </t>
  </si>
  <si>
    <t>Déshydratation, fatigue, malaises, coup de chaleur (risque vital), aggravation de pathologies ; baisse de vigilance entraînant un risque accru d’accidents ; diminution des performances et absentéisme.</t>
  </si>
  <si>
    <t>&gt; Climatisation
&gt; Brumisateur
&gt; Lunette de soleil
&gt; Casquette
&gt; Sélection des horaires d'intervention</t>
  </si>
  <si>
    <t>Situation de basse température</t>
  </si>
  <si>
    <t>Engelures, gerçures, hypothermie</t>
  </si>
  <si>
    <t>&gt; Ports de vêtements de travail adaptés fournis par le service : bonnet, veste, gants.
&gt; Dispositions adaptées en fonction des conditions climatiques.</t>
  </si>
  <si>
    <t>Protection de la peau à l'aide de crème écran total, port d'une casquette, lunettes protection UV conformes et adaptées.</t>
  </si>
  <si>
    <t>Lésions corporelles de graves à légères et dommages liés à une chute à la mer.</t>
  </si>
  <si>
    <t>-Gène, affection respiratoire, maux de têtes, vomissements,
-Développement de cancer possible.</t>
  </si>
  <si>
    <t>&gt; Information aux agents.
&gt; Révision périodique des moteurs.
&gt; MPX et GE conformes à la norme IMO Tier III.</t>
  </si>
  <si>
    <t>Entraînement au tir.</t>
  </si>
  <si>
    <t>Inhalation de fumées toxiques et absorption de particules de plomb._x000D_</t>
  </si>
  <si>
    <t>Information, respect des consignes, ventilation du local.</t>
  </si>
  <si>
    <t>Exposition aux gaz d’échappement des moteurs diesel de propulsion lors de
manœuvres au port ou de la navigation en mer</t>
  </si>
  <si>
    <t>Gène, affection respiratoire, maux de têtes, vomissements, développement de cancer 
possible.</t>
  </si>
  <si>
    <t>&gt; Utilisation d'un carburant pauvre en soufre. 
&gt; Entretien régulier des filtres de la ventilation. 
&gt; Révision périodique des moteurs
&gt; MPX et GE conformes à la norme IMO Tier III
&gt; Navire équipé d'une propulsion électrique</t>
  </si>
  <si>
    <t>Environnement bruyant lors des rondes en salle des machines et bruit ambiant sur l'ensemble du navire
Environnement bruyant lors d'entraînement au tir</t>
  </si>
  <si>
    <t>Hypoacousie de perception par lésion cochléaire irréversible, accompagnée ou non 
d’acouphènes.</t>
  </si>
  <si>
    <t>&gt; Mesure du bruit hors salle des machines conforme à la résolution A.468 XII de l’OMI réalisée lors des essais mer 02/22 (rapport n° NVS-19018-R4-A).
&gt; Information, respect des consignes, port des EPI (casque anti-bruit).
&gt; Pictogramme de protection contre le bruit affiché sur les portes d’accès aux locaux machines.</t>
  </si>
  <si>
    <t>Dotation en bouchons d’oreilles individuels moulés et adaptés à l’agent.</t>
  </si>
  <si>
    <t>Pauses régulières, alternance des tâches.</t>
  </si>
  <si>
    <t>Etude de l'ergonomie des postes de travail sur écran au besoin.</t>
  </si>
  <si>
    <t>&gt; Respect des règlements en vigueur et du cadrage ARTT des agents affectés à bord des patrouilleurs des affaires maritimes.
&gt; Moyens nécessaires pour assurer les premiers secours des agents (médical 1 et 2) et les autres seront formés aux PSC1.
&gt; Défibrillateur installé à bord.</t>
  </si>
  <si>
    <t>&gt; À terme, l’équipage devra être formé a minima au PSC1.
&gt; Recyclages réguliers conseillés.
&gt; Assurer la maintenance de la batterie du défibrillateur.
&gt; Plan RPS.</t>
  </si>
  <si>
    <t>Risque hyperbare lors de plongée d’entraînement ou d'intervention</t>
  </si>
  <si>
    <t>Ostéonécrose aseptique, otite, hypoacousie, embolie gazeuse traumatique, prurits, maladies de décompression, hypothermie, noyade.</t>
  </si>
  <si>
    <t>&gt; Suivi médical régulier, stages de recyclage, entraînement régulier, respect de la réglementation hyperbare et des tables de décompression.
&gt; Une annexe équipée d’une bouée de type Silzig est à l’eau lorsque le navire est en mer ou parée à être mise à l’eau lorsque le navire est à quai, lors d’intervention en milieu hyperbare exécutée avec immersion.</t>
  </si>
  <si>
    <t>Un complément en RIFAP est prévu pour assurer l’équipe de plongée.</t>
  </si>
  <si>
    <t>Tous ceux liés au fait que l’agent ne dispose pas de la possibilité de recours en cas d’aléas, d’accident ou de malaise (les risques sont cumulés lors de cette activité).</t>
  </si>
  <si>
    <t>Surveillance visuelle et par l'intermédiaire de caméras, port chaussures à semelles antidérapantes et du gilet auto-gonflant, respect de l’ordre de service, signalement début et fin de ronde auprès du chef de quart, harnais et ligne de vie.</t>
  </si>
  <si>
    <t>&gt; Mesures vibrations conforme à la réglementation (décret 2005-748 &lt; 0,5m/s²) réalisées lors des essais mer 02/22 (rapport n° NVS-19018-R4-A).
&gt; Utilisation des moteurs principaux en utilisant si possible l'allure où les vibrations se font le moins ressentir.</t>
  </si>
  <si>
    <t>&gt; Affichages obligatoires sur certains sites.
&gt; Remontées hiérarchiques, possibilité de s’orienter vers le médecin de prévention ou les ASS qui peuvent proposer des mesures individuelles concernant la situation du salarié victime.
&gt; Possibilité de faire des remontées par le registre santé et sécurité au travail sur l’intranet : http://intra.dirm-mediterranee.e2.rie.gouv.fr/saisie-d-une-remarque-a1849.html</t>
  </si>
  <si>
    <t>Dysfonctionnements organisationnels et relationnels : surcharge ou intensité du travail, manque d’autonomie ou de moyens, pression liée aux objectifs, fragilité du dimensionnement du service (fonctionnement en mode dégradé), relations difficiles avec le public ou la hiérarchie, et mauvaise qualité des rapports sociaux.</t>
  </si>
  <si>
    <t>Troubles physiques, psychologiques : surcharge mentale, stress, dépression nerveuse, psychopathologies.</t>
  </si>
  <si>
    <t>&gt; Écoute et communication, suivi médical du MDP et permanence ASS, groupe de coordination médico-social.
&gt; Mise en œuvre d’un plan d’évaluation et de prévention des RPS dans le cadre du plan d’action DIRM</t>
  </si>
  <si>
    <t>Actualisé avec le plan d'action RPS</t>
  </si>
  <si>
    <t>Tensions au sein de l’équipage, stress et agressivité</t>
  </si>
  <si>
    <t>Écoute et communication.</t>
  </si>
  <si>
    <t>Situations de stress et de tension engendrées par le port d'arme</t>
  </si>
  <si>
    <t>&gt; Suivi psychologique lors de l’habilitation au port d’arme.
&gt; Exercices de tir réguliers.</t>
  </si>
  <si>
    <t>Relations conflictuelles avec le public (agressions verbales ou physiques)</t>
  </si>
  <si>
    <t xml:space="preserve">Blessures physiques ou psychiques des personnes concernées. </t>
  </si>
  <si>
    <t>&gt; Information, procédure interne de signalement des agressions (DCS), fiche réflexes agressions (MTES) et circulaire du 02/11/2020 et du 09/02/2018.
&gt; Entraînement des agents à l’usage des armes.
&gt; Référent arme au sein de l’équipage.</t>
  </si>
  <si>
    <t>Braquage, vol d'armes et munitions</t>
  </si>
  <si>
    <t>Agression physique, blessure par balle.</t>
  </si>
  <si>
    <t>&gt; Coffre à code
&gt; Porte et serrure renforcée
&gt; Armurerie protégée par une alarme (contact porte et volumétrique)
&gt; Armes et munitions entreposées dans deux coffres distincts et scellés au mur
&gt; Signer le registre d’arme
&gt; Appeler le 17 et échanger avec les forces de l’ordre</t>
  </si>
  <si>
    <t>&gt; Interdiction de fumer et de vapoter à bord.
&gt; Rappel des textes réglementaires.
&gt; Note interne n°270 du 14/03/14 diffusée aux services « politique de la DIRM MED en matière de prévention des risques liés à la consommation d’alcool ».</t>
  </si>
  <si>
    <t>Information sur les risques pouvant interférer chaque activité EE/EU, inspections communes au préalable, rédaction d’un permis de travail dangereux avant toute activité dangereuse (travaux : en hauteur/par point chaud/électrique/en espace clos)</t>
  </si>
  <si>
    <t>&gt; Vérifier, dans le cadre des chantiers, si la responsabilité de la DIRM peut être engagée en cas d’accident survenant à bord du navire, y compris dans une zone d’intervention relevant d’une autre entreprise.
&gt; Le cas échéant, prévoir l’élaboration de plans de prévention adaptés.</t>
  </si>
  <si>
    <t>Présence d’animaux à bord de navire.</t>
  </si>
  <si>
    <t>Risque morsure, blessure, griffure, coupure. Transmission de maladies infectieuses.</t>
  </si>
  <si>
    <t>Utilisation de gaz incapacitant.</t>
  </si>
  <si>
    <t>Contact avec des espèces de poissons dangereuses lors des contrôles sur les navires ou dans les GMS.</t>
  </si>
  <si>
    <t>Morsure, piqûre, blessure, griffure, coupure, transmission de maladies infectieuses._x000D_</t>
  </si>
  <si>
    <t>Port des EPI (gants), formation à la reconnaissance des espèces.
Information, respect des consignes.</t>
  </si>
  <si>
    <t>Lésions corporelles légères à graves ou décès_x000D_</t>
  </si>
  <si>
    <t>&gt; Respect des rythmes de travail, du code de la route, prise en compte des recommandations de la prévention routière sur les temps de repos.
&gt; Vérification visuelle du véhicule avant chaque déplacement.
&gt; Préparation des déplacements.
&gt; Suivi et entretien réguliers des véhicules, contrôle technique.
&gt; Trajets sur autoroutes privilégiés (cartes de télépéages généralisées).
&gt; Respect de la charte sur l’utilisation des véhicules de service (disponible sur l’intranet).
&gt; En cas de panne, accident, crevaison, panne/erreur de carburant, vol/vandalisme, perte de clés/carte de démarrage : contacter le n° d’assistance inscrit dans les pochettes véhicules.
&gt; En cas de panne ou d’accident : port du gilet fluorescent, triangle de signalisation, maintien à distance de la chaussée dans l’attente de l’assistance.</t>
  </si>
  <si>
    <t>Un PPRR doit être établit à l’échelle de la DIRM Med.</t>
  </si>
  <si>
    <t>Trajet véhicule personnel domicile travail A/R, risque d’accident de la circulation accentué par la fatigue, la prise d’alcool ou de certains médicaments et l’état du véhicule.</t>
  </si>
  <si>
    <t xml:space="preserve">Respect des temps de repos, rythmes de travail. </t>
  </si>
  <si>
    <t xml:space="preserve">Traitement préventif de l’eau au chlore, analyses, traitement curatif choc chlore, thermique.
</t>
  </si>
  <si>
    <t>&gt; Lavage régulier des mains pour se décontaminer et éviter de contaminer les autres ou utilisation de produit hydroalcoolique désinfectant (à utiliser sur mains non souillées, ces solutions ne remplacent pas l’eau et le savon).
&gt; Port d’EPI adaptés à la situation (gants jetables, masques de protection respiratoire…).
&gt; En général, éviter tout contact des mains souillées avec les yeux, le nez, la bouche.
&gt; Vestiaires, douches.
&gt; Aération, ventilation régulière, nettoyage des locaux.
&gt; Information : ne pas embarquer un agent lorsqu’il est malade.</t>
  </si>
  <si>
    <t>&gt; Lavage des mains pour se décontaminer et éviter de contaminer les autres.
&gt; Éviter tout contact des mains souillées avec les yeux, le nez, la bouche.
Consultation de la fiche prévention sur l’intranet : http://intra.dram-mediterranee.i2/ficheprevention-a1644.html</t>
  </si>
  <si>
    <t>&gt; Suivi du MDP : vaccination et rappels.
&gt; Port des EPI (gants) et vêtements de travail adaptés.</t>
  </si>
  <si>
    <t>Contamination par ingestion accidentelle de bactéries, virus, parasites pathogènes alimentaires, lors de la prise de repas (par défaut d’hygiène : alimentaires, des locaux).</t>
  </si>
  <si>
    <t>&gt; Formation HACCP pour les cuisiniers.
&gt; Lavage des mains pour se décontaminer et éviter de contaminer les autres.
&gt; Consommation d’eau minérale et respect des normes sanitaires (hygiène, température, dates de péremption).
&gt; Établissements et locaux tenus dans un état d’hygiène et de salubrité nécessaire à la santé du personnel.</t>
  </si>
  <si>
    <t>Remplissage des cuves eau douce par le réseau de la ville qui vient du quai.</t>
  </si>
  <si>
    <t>Risque d'affection bactériologiques.</t>
  </si>
  <si>
    <t xml:space="preserve">&gt; Consommation d'eau minérale.
&gt; Purge du tuyau avant remplissage, analyse régulière, traitement de l'eau au chlore. </t>
  </si>
  <si>
    <t>&gt; Pas de retours des connaissances et d'adoption de comportements
adaptés aux menaces. Cette information se fait logiquement au travers du Document d'Information Communal sur les Risques Majeurs (DICRIM).
&gt; Lien intranet: 
http://intra.dram-mediterranee.i2/le-risque-de-force-majeure-a2169.html</t>
  </si>
  <si>
    <t>&gt; Consulter le DICRIM* de la commune pour être informer, se préparer et se protéger de ces risques présents près de chez-soi et au travail, lien intranet : http://intra.dram-mediterranee.i2/le-risque-de-force-majeure-a2169.html
&gt; S'informer auprès des services de la commune sur les mises à jours des DICRIM* et diffuser l'information au personnel.
&gt; En cas d'alerte prendre les consignes, s'organiser et anticiper  (SNA signal d'alerte et d'information, radio, internet, réseaux sociaux..).</t>
  </si>
  <si>
    <t>Risque chutes de plain-pied</t>
  </si>
  <si>
    <t>*Débarquement/embarquement depuis un ponton
*Débarquement/embarquement sur les semi-rigides</t>
  </si>
  <si>
    <t>&gt; Port des EPI. 
&gt; Respect des consignes d'embarquement.
&gt; Revêtement antidérapant échelles et ponton. 
&gt; Aménagement de la descente avec mise en place d'un escalier d'accès 
avec une peinture anti-dérapante. 
&gt; Eclairage satisfaisant en cas d'embarquement de nuit.
&gt; Zonage</t>
  </si>
  <si>
    <t xml:space="preserve">Prévenir les autorités en cas de dégradation </t>
  </si>
  <si>
    <t>Déplacement à bord, rondes, travaux d'entretien et de maintenance…</t>
  </si>
  <si>
    <t>&gt; Nettoyage et dégagement des voies de circulation.
&gt; Information, respect des consignes, port des EPI chaussants (avec semelles antidérapantes).
&gt; Escalier d’accès avec une peinture antidérapante.
&gt; Revêtement antidérapant du navire.
&gt; Éclairage satisfaisant pour les déplacements à bord de nuit.</t>
  </si>
  <si>
    <t>Utilisation des échelles
Embarquement/débarquement/accostage des navires contrôlés - utilisation des échelles de quai</t>
  </si>
  <si>
    <t>&gt; Information et formation adéquate. 
&gt; Respect des consignes. 
&gt; Port des gants. 
&gt; Port des EPI chaussants (avec semelles antidérapantes).</t>
  </si>
  <si>
    <t>Risque lié aux travaux en milieu hyperbare</t>
  </si>
  <si>
    <t>Activités de plongées hyperbares lors des missions subaquatiques
Gonflage des bouteilles de plongée</t>
  </si>
  <si>
    <t>Barotraumatismes, accidents de décompression, accidents biochimiques. 
Atteintes cutanées. 
Atteinte neurologique. Décès.
Mauvaise qualité de l'air, intoxication, étouffement.</t>
  </si>
  <si>
    <t>Risque d’être percuté lors des plongées sous-marines</t>
  </si>
  <si>
    <t>Dommages corporels importants : fractures, coupures, mutilations, décès</t>
  </si>
  <si>
    <t>&gt; Présence de bouée de signalisation et de pavillon de plongée. 
&gt; Suivi de la procédure intervention en milieu hyperbare</t>
  </si>
  <si>
    <t>Situation pouvant entraîner un risque physique et psychique lié au contact avec des embarcations, des personnes en danger, parfois en situation de tension, et/ou au contact avec des cadavres.</t>
  </si>
  <si>
    <t>&gt; Suivi de la procédure risque migrant 
&gt; Formation tous les 2 ans</t>
  </si>
  <si>
    <t>Risque port d'arme</t>
  </si>
  <si>
    <t>Tir accidentel de l'arme lors de la séance de tir ou ricochet du projectile
Déclenchement accidentel de l'arme lors de la mise en service ou désarmement de l’arme</t>
  </si>
  <si>
    <t>Blessures par balle ou ricochet, lésion oreilles, projection de poudres sur les mains (poudre 
toxique)</t>
  </si>
  <si>
    <t xml:space="preserve">Voir la "note technique relative à l'armement au sein des unités du dispositif de contrôle et de surveillance des affaires maritimes" </t>
  </si>
  <si>
    <t>4. CROSS MED</t>
  </si>
  <si>
    <t>CROSS MÉDITERRANÉE</t>
  </si>
  <si>
    <t>La Garde-Aspretto</t>
  </si>
  <si>
    <t>Aymeric LE MASNE DE CHERMONT</t>
  </si>
  <si>
    <t>Régime de travail prévoyant des récupérations après les astreintes</t>
  </si>
  <si>
    <t>Aspretto (Corse)</t>
  </si>
  <si>
    <t>Le Sous-CROSS en Corse est hébergé.
Pour ce risque veuillez vous reporter au site hébergeur dans l’unité « 8.GESTIONNAIRE SITE » pour visionner les mesures (existantes ou à proposer) qui concernent le Sous-CROSS.</t>
  </si>
  <si>
    <t>Le Sous-CROSS en Corse est hébergé.
Pour ce risque veuillez vous reporter au site hébergeur dans l’unité « 8.GESTIONNAIRE SITE » pour visionner les mesures (existantes ou à proposer) qui concernent le Sous-CROSS.
Faire demande au SST de la base navale si des tests ont été réalisés --&gt; possibilité de faire nous même les tests pour les zones concernés CROSS CORSE</t>
  </si>
  <si>
    <t>* Délivrer, maintenir ou renouveller les titres d'habilitation ( validation par signature de l'employeur et du titulaire),
- Information, respect des consignes d'intervention (hors tension, pas de port de bijoux, pas d’intervention en cas d’intempéries éclair, tonnerre), port des EPI réglementaires (gants, écran facial..) adaptés aux opérations (ex : au voisinage des PNST), consignations nécessaires.</t>
  </si>
  <si>
    <t xml:space="preserve">* Qualification des nouveaux arrivants, compagnonnage, formation.
- Signalisation du risque et des locaux réservés aux électriciens.
- Intervention hors tension, consignation des installations, port des EPI, pose de dispositifs isolants (au voisinage)...
- Une instruction de sécurité (sous forme de consignes, d'affichage) est conseillée dans le cas de présence de ré-enclecheur, onduleurs, convertisseurs, groupes électrogène.
- Tableau de suivi des EPI
</t>
  </si>
  <si>
    <t>La Garde</t>
  </si>
  <si>
    <t>- Maintient en conformité des installations électriques + vérification périodique annuelle.
- Système de coupure d’urgence localisé.</t>
  </si>
  <si>
    <t>*Réaliser une étude à moyen / long terme sur les câbles de mise à la terre du site de Lagarde.
*Mettre en conformité l’installation électrique (TGBT) du site de Corse, non conforme depuis 2017 ; publication d’un appel d’offres prévue cet été pour la réalisation des travaux.
*Mettre en place un document de suivi des contrôles réglementaires pour les sites de Corse et de Lagarde.
*Intégrer ce document de suivi dans l’outil HS et échanger avec Mériem sur sa mise en place.
*Organiser et formaliser l’entretien des installations sur le site de Corse, où les portes sont habituellement maintenues fermées et où une personne est identifiée pour assurer l’entretien.
*Assurer le suivi des travaux d’étanchéité réalisés sur le bunker du site de Lagarde.</t>
  </si>
  <si>
    <t>*Site de Lagarde : le capitaine d’armes établit un planning de propreté, mais celui-ci n’est pas accessible à l’ensemble des agents.
*Les créneaux de rangement et de nettoyage sont respectés et inscrits dans un planning.
*Absence de revêtement antidérapant, mais l’escalier n’est pas identifié comme glissant.
*L’éclairage a été entièrement refait.
*Dans le cadre du chantier, des mesures ont été prises pour éviter que les câbles ne dépassent ; aucun risque particulier identifié à ce sujet pour le site de Lagarde.
*À la fin du chantier, certaines zones seront balisées, notamment au niveau -1, afin d’éviter les chocs contre les angles lors des rondes.
*L’entreprise en charge du nettoyage utilise des lingettes sans eau, afin de préserver l’intégrité du matériel et limiter le risque de sol glissant.</t>
  </si>
  <si>
    <t>* Remplacement des planches en bois endommagées au sol entre cuisine et salle repas.</t>
  </si>
  <si>
    <t>Site de Lagarde : un contrat est en place avec une société d’assainissement qui intervient pour vérifier les installations d’eau.
Site de Corse : la gestion des installations est assurée par la base navale. Des affiches de prévention sont présentes dans les sanitaires.
→ L’eau n’étant pas potable (présence de plomb), mettre en place un affichage clair à destination du public pour signaler la non-potabilité de l’eau.</t>
  </si>
  <si>
    <t>Démarche et consignes à généraliser :
- Préventive : 
=&gt; vérifications des installations d’eau chaude sanitaire particulièrement si présence de bras morts et/ou peu utilisées,
=&gt; éventuellement analyses de l’eau,
=&gt; surveillance de la température de l’eau chaude sanitaire (45°C minimum en sortie de robinets, douches…),
- Curative : (choc thermique ,chlore).
Pour la garde : vérifier le contenu du contrat avec la société d'assainissement 
Pour la Corse : → L’eau n’étant pas potable (présence de plomb), mettre en place un affichage clair à destination du public pour signaler la non-potabilité de l’eau.</t>
  </si>
  <si>
    <t>Incendie lié aux sources de chaleur en cuisine ou appareils chauffants</t>
  </si>
  <si>
    <t>Brûlures et lésions.</t>
  </si>
  <si>
    <t>- Dispositif d’arrêt automatique de la friteuse par thermostat, 
- Acquisition d’une couverture anti-feu.
- Dispositif de sécurité thermo-couple sur la gazinière.
- Vanne d’arrêt de gaz cuisine localisé.
- Détection incendie dans la cuisine.
- Moyens d’extinction à proximité.</t>
  </si>
  <si>
    <t>Former le personnel à la manipulation d’extincteurs.
Réaliser des exercices incendies 
En corse : ils suivent les exercices réalisés par la base navale</t>
  </si>
  <si>
    <t>- Repérer les écarts dans la maîtrise des outils numériques au sein des équipes et former ceux qui en ont besoin.
- Identifier les éventuels sentiments d’inégalité ou d’iniquité de traitement dans l’accès au télétravail, dans la répartition de la charge de travail et échanger pour lever les incompréhensions.
- Organiser régulièrement des réunions d’équipe au complet, dans la mesure du possible en présentiel.
- Consulter la brochure d'information accessible sur l'intranet concernant les risques du télétravail, le lien: 
http://intra.dirm-mediterranee.e2.rie.gouv.fr/IMG/pdf/teletravail_dirmmed1_cle79ff51.pdf</t>
  </si>
  <si>
    <t>Lagarde :
Ils utilisent des produits pour l’entretien. Ils reçoivent les FDS/SDS, mais il n’y a pas de dossier pour les regrouper.
CMR et hydrocarbures, surtout pour la cellule infra. Ils ont leurs EPI et vérifient qu’ils sont bien utilisés → sûrement précisé dans une note de service.
Ils ont un local infra fermé (bunker) → pas de ventilation.
Groupes électrogènes → question sur le stockage des hydrocarbures.
Corse :
Pas d’usage régulier de produits CMR, mais une procédure pourrait exister.
Ils ont une soute fermée, accessible uniquement par le technicien, mais on ne sait pas si elle est ventilée ou non.</t>
  </si>
  <si>
    <t xml:space="preserve">
- Poursuite de l’analyse du risque : exploitation des FDS (effets sur la santé, stockage, EPI recommandés...) document de synthèse à instaurer et recherche de produits de
substitution .
- Traçabilité des expositions : intégration des données collectées sur les FDS de chaque produit utilisé dans la fiche individuelle de prévention des expositions à certains facteurs de risques (mise à jour annuelle).
- Mise aux normes des locaux de peinture et de stockage</t>
  </si>
  <si>
    <t>Locaux de stockage séparés à rayonnage, bac de rétention, exploitation des FDS (vérification des incompatibilités).</t>
  </si>
  <si>
    <t>* Vérification des locaux de stockage pour mises aux normes si nécessaire (matériel ATEX).
- Poursuite de l’exploitation des fiches de données de sécurité et vérification de la compatibilitée de stockage --&gt; possibilité de s'aider de l'IA.</t>
  </si>
  <si>
    <t xml:space="preserve">* Débroussaillages réguliers sur tout le site conformément aux obligations imposées sur la zone.
- Borne incendie et matériel d’extinction à proximité.
La cellule infra est missionée pour l'entretien des espaces verres 
Ils ont déterminé des zones fumeurs règlementés notamment l'été
</t>
  </si>
  <si>
    <t xml:space="preserve">L'enquête a été réalisé mais n'a pas conduit à un affichage Navtex
Pour les radios sur sites, risque minime sauf toiture --&gt; voir carte avec les zones interdites pour le travailleur et pour le public 
En corse, il y a une étude sur les rayonnement ionisant qui a été menée sur la base navale, que sur toiture et seul le technicien peut y aller voir comment il peut y aller, quelles sont les conditions </t>
  </si>
  <si>
    <t>* Matérialisation des zones de danger (émissions) et affichage sur sites déportés et navtex (La Garde),</t>
  </si>
  <si>
    <t>Troubles physiques, psychologiques, conduites addictives, trouble du sommeil.</t>
  </si>
  <si>
    <t xml:space="preserve">Enquête RPS et plan d'action 
Possibilité de contacter le CRAPEM
</t>
  </si>
  <si>
    <t>Réactualisé la note sur les personnes ressources 
Transposé le plan d'action DIRM en action spécifique CROSS</t>
  </si>
  <si>
    <t>*Il n’y a pas de société de nettoyage, l’entretien des locaux est réalisé par les agents.
*Le ménage est effectué le dimanche afin de limiter les perturbations de l’activité.
*Absence de revêtement antidérapant, mais un balisage est en place pour sécuriser les zones de circulation.
*Un système de gestion des câbles (cable management) est en place.
*Aucune difficulté particulière concernant l’archivage.
*Une ronde de vérification est réalisée chaque soir afin de s’assurer que tout est en ordre.
*Un éclairage automatique a été installé dans la cage d’escalier pour améliorer la sécurité des circulations.</t>
  </si>
  <si>
    <t>* Consignation des circuits électriques commandés par inverseur de sources, automates et réenclencheurs auto avant toute intervention,  entretien et vérification --&gt; contrôle règlmentaire obligatoire et contrat de maintenance
- respect des procédures d’arrêt (déverrouillage mécanique,..).</t>
  </si>
  <si>
    <t>- Port des EPI recommandés,
- coordination avec le pilote,
- prise en compte de la météo,
- prise en compte de la difficulté d’accès pour orienter le type de matériel à installé (ex : matériel plus léger).</t>
  </si>
  <si>
    <t>- Évaluation au préalable si possible des conditions d’accès.
- Généralisation des chaussures anti-dérapantes à étudier.</t>
  </si>
  <si>
    <t>*Activités de cohésion pour renforcer la solidarité et l'entraide au sein de l'équipage
*mise en place d'un indicateur "indisponibilité" sur le calendrier partagé lors des réunions
organisation d'entretien en télétravail (télpehone, visio) pendant les AD du personnel</t>
  </si>
  <si>
    <t>Tétanos, infections cutanées.</t>
  </si>
  <si>
    <t xml:space="preserve">* Suivi du MDP : vaccination et rappels.
- Port des EPI (gants) et vêtements de travail adaptés, respect des consignes
</t>
  </si>
  <si>
    <t>- Local de stockage dédié (La Garde), port des EPI (lecture FDS), signalisation.
- Port des EPI conseillés dans les FDS, signalisation et étiquetage.
- Lavage des mains pour se décontaminer et éviter de contaminer les autres.</t>
  </si>
  <si>
    <t>Sensibilisation et rappel :
- Poursuite de l’analyse du risque : exploitation des FDS (effets sur la santé, stockage, EPI recommandés...) document de synthèse à instaurer et recherche de produits de substitution .
- Traçabilité des expositions : intégration des données collectées sur les FDS de chaque produit utilisé dans la fiche individuelle de prévention des expositions à certains facteurs de risques (mise à jour annuelle).
Mise aux normes des locaux de peinture et de stockage, réalisation des peintures en extérieur à généraliser.*
*Sensibilisation au respect des consignes de sécurité en lien avec les FDS</t>
  </si>
  <si>
    <t>Pathologies aiguës ou chronique : irritations, brûlure chimique, allergies, infections pulmonaires, affections oculaires, cutanées, cancers.</t>
  </si>
  <si>
    <t>Ventilation des locaux.</t>
  </si>
  <si>
    <t>- Prise en compte et adaptation des dispositifs de ventilation et d’aspiration (protections collectives)sur l’ensemble des locaux où sont effectués des soudures électronique étain/plomb).
- Nettoyage régulier des locaux chaudronneries par aspiration (afin d’éviter la remise en suspend dans l’atmosphère des particules), ne pas souffler.</t>
  </si>
  <si>
    <t>Port des EPI (gants de protection), respect des consignes d’utilisation.</t>
  </si>
  <si>
    <t>- Utilisation des outils conformément à l’usage pour lequel ils sont destinés.
- Généraliser les protections individuelles oculaires à correction adaptée selon les besoins évalués.</t>
  </si>
  <si>
    <t>- Ergonomie des postes de travail en salle PC opérationnel (niveau des écran sur les consoles, sièges, souris..).
- Sièges ergonomiques._x000D_</t>
  </si>
  <si>
    <t xml:space="preserve">- Etude ergonomique des postes de travail si nécessaire.
- Mettre en place stage PRAP (Prévention des risques liés à l’activité physique). </t>
  </si>
  <si>
    <t>- Selon le cas port port des (PICB) protections individuelles contre le bruit,
- procédure d’éloignement de la drop zone lors de l’atterrissage et du décollage d’un hélicoptère</t>
  </si>
  <si>
    <t>- Étude sur la réduction du bruit en cuisine à réaliser, choix de matériels insonorisés à la conception lors du renouvellement.
- Renouveler les protections auditives adaptées et sur mesure.
- Étude des postes exposés au bruit : Affichage du risque sur chaque poste ou équipement (signalétique, pictogramme de rappel).
-Evaluation à réaliser selon les situations d’expositions remontées (contacter le CP).</t>
  </si>
  <si>
    <t>Stress accru en période estivale, exposition à des agressions verbales lors des opérations, charge émotionnelle en cas d’événements graves, difficultés dans le contact avec les familles de victimes, manque d’accompagnement dans les réformes et surcharge mentale, dégradant la qualité des relations de travail.</t>
  </si>
  <si>
    <t>* Communication interne après le quart, écoute des officiers.
- Formation gestion du stress à l’attention des CMS par l’ENSAM.
- Evaluation des RPS (questionnaire d’enquête mai 2017).</t>
  </si>
  <si>
    <t xml:space="preserve">- Mise en place de panneaux anti-bruit (communication avec requérants).
- Réflexion à conduire sur la réalisation d’une procédure d’orientation en vue d’une prise en charge psychologique en fonction des nécessités.
- Généralisation de la formation gestion du stress pour les CMS.
- Démarche d’évaluation et de prévention des risques psychosociaux, plan d’action en cours .
</t>
  </si>
  <si>
    <t>- Lavage des mains régulier pour se décontaminer et éviter de contaminer les autres ou utilisation de produit hydroalcoolique désinfectant (à utiliser sur main non souillées, ces solutions ne remplacent pas l’eau et le savon).
- En général pas de contact des mains souillées avec ses yeux, son nez, sa bouche.
- Port d’EPI adaptés à la situation (exemple dans le cas de retrait de nids de chenilles processionnaires : gants jetables, masques de protection respiratoire, combinaison).
- Pose de pièges à chenilles processionnaires écologiques sur les arbres.
- Bombes insecticides à disposition, traitement périodique du vide sanitaire sous le bâtiment vie, répulsif anti-moustique.
- Vestiaires, douches, matériel de lavage des vêtements (entretien régulier des sanitaires contrôle de la qualité de l’eau).
- Procédure en cas de symptômes (consultation d’un médecin, éloignement du lieu de travail).
- Eclairage à détection automatiques installés dans certains services (conseillé dans les salles d’eau).
- Rénovation des locaux d’hébergement.</t>
  </si>
  <si>
    <t>- Vérification visuelle de l’état des protections collectives avant l’intervention,
- port des EPI adaptés aux travaux en hauteur.
- évolution dans des conditions météorologiques favorables.
- Création et diffusion d’une fiche procédure « travaux en hauteur » mise en ligne sur l’intranet. 
- Concernant la périodicité de formation : celle-ci est fixée à 5 ans dans le plan de la DIRM MED. 
- Mode opératoire adopté: éviter de monter chargé d’outils (fractionnement des charges)._x000D_</t>
  </si>
  <si>
    <t>- Généralisation des formations aux travaux en hauteur (port, vérification et suivi des EPI),
- missions à réaliser obligatoirement en binôme.
- En cas de travaux de courte durée ou moyen d’accès : l’échelle doit correctement être installée sur un support stable et être fixée/calée au pied ou en tête.</t>
  </si>
  <si>
    <t>1. Mise en œuvre et suivi des recommandations du diagnostiqueur (exemple : surveillance de l’état de dégradation des MCA détectés, recherche de la cause de la dégradation, mesures d’empoussièrement, mesures correctives...).
2. Contrôle périodique d’évaluation de l’état de dégradation des matériaux/produits amiantés identifiés à réaliser (par un opérateur certifié recommandé tous les 36 mois),
3. Communication du DTA du site à tout prestataire/intervenant (prévu par le plan de prévention en cas de co-activité),
4. Identifier (par une signalétique à poser) les MCA afin d’éviter toute intervention par inadvertance (Cf. mesure existante),
5. Réaliser un repérage avant travaux (obligatoire cf.arrêté du 16 juillet 2019) afin de rechercher la présence d’amiante dans le bâti, préalablement à toute opération comportant des risques d’exposition des travailleurs.
6. Renseigner les derniers éléments dans la fiche sécurité du DUERP du site et les communiquer au CP.
7. Documents individuels de traçabilité amiante à renseigner pour les travailleurs potentiellement exposés.</t>
  </si>
  <si>
    <t>-Maintient des portes des tableaux et coffrets en position fermée.
- Vérification visuelle de l’état du matériel électrique (ex :prolongateurs) avant usage, signalement de l’état du matériel endommagé à la hiérarchie et remplacement.
-Acquisition de matériel conforme à la norme en vigueur, respect de la puissance maximale indiquée sur les prolongateurs et multiprises.
- Vérification périodique des installations électriques, mise en conformité des installations (attente de retour).</t>
  </si>
  <si>
    <t>- Vérifications des installations électriques périodique annuelle obligatoire, à renseigner dans la fiche sécurité du DUERP puis mise en conformité des installations
- Utilisation du matériel conformément aux spécifications du fabricant.
- Privilégier l’achat de matériel classe II notamment lors de l’utilisation de groupes électrogènes portatifs.
- Remplacement des installations BT par des installations TBT (surtout en milieu humide) lorsque cela est réalisable.</t>
  </si>
  <si>
    <t>* Vérification périodique des dispositifs de lutte contre les débuts d’incendies dans les locaux (attente de retour).
- Plan d’évacuation, signalétique installés.
- Alarme incendie</t>
  </si>
  <si>
    <t>- Assurer, les contrôles périodiques des moyens de lutte contre les débuts d'incendies (à renseigner dans la fiche sécurité du DUERP), diffusion des consignes et installation d’une signalétique appropriée,
- Éviter de stocker des emballages, du matériel ou autres dans les dégagements (couloirs, portes, issues…), respecter les largeurs d’unité de passage.
- Formation à l’utilisation des extincteurs et procédures d’évacuation (guide et serre fil).</t>
  </si>
  <si>
    <t xml:space="preserve"> Information et rappels des consignes à respecter :
- Protection isolée des pôles + et - (caches bornes) à installer et à maintenir sur les batteries,
- Charge dans un local suffisamment ventilé,
- Consignes au personnel, formation, outils de connections isolés (clefs, tournevis), pose de signalétique.
- Etude en cours de la réglementation travaux sous tension (NFC 18-505-2-3), attentes de retours d'analyses des installations de batteries.</t>
  </si>
  <si>
    <t>Ecrasements, chocs : blessures diverses.</t>
  </si>
  <si>
    <t>Vérification périodique des installations (ascenseurs, barrières, portes, rideaux, automatiques..) et maintenance des systèmes dans les locaux (attente du dernier contrôle).</t>
  </si>
  <si>
    <t>Vérifier le suivi des contrôles périodiques (6 mois) réglementaires* des installations (barrières, portes, portails automatiques..) et la maintenance des systèmes et renseigner la fiche sécurité DUERP du site (mise à jour annuelle demandée).
*Ces informations réglementaires sont logiquement consultables dans le registre unique de sécurité du site.</t>
  </si>
  <si>
    <t>Lésions corprelles, superficielles ou profondes, lésions auditives.</t>
  </si>
  <si>
    <t xml:space="preserve">Surveillance visuelle de l’état du matériel, port des EPI suivant les notices d’utilisation. </t>
  </si>
  <si>
    <t>Veiller à la mise en application des mesures actuelles (existantes).</t>
  </si>
  <si>
    <t>- Evaluation au préalable des conditions d’accès.
- Généralisation des chaussures à semelles anti_x0002_dérapantes à étudier.
- Avant toute utilisation du VFI , la notice d’utilisation doit être lue attentivement, si besoin former et informer le personnel sur les conditions d’utilisation et d’entretien (auto_x0002_contrôle entre visites fabricant, stockage..).
- Port du VFI en bordure de quai.</t>
  </si>
  <si>
    <t>- Information sur environnement de travail, 
- Pauses régulières, alternance des tâches.
- Acquisition, remplacement et adaptation du matériel de bureau afin d’améliorer l’ergonomie (plan de travail ,fauteuil, écrans, portes-documents, repose-pieds..).
- Aménagement des consoles PC opérationnel, souris ergonomiques, écrans, installation de lampes d’appoint, pose de stores, film filtre spécial sur vitres, fauteuils ergonomiques.</t>
  </si>
  <si>
    <t>- Généralisation des solutions ergonomiques, étude du poste de travail (contacter le CP si besoin).
- Consultation des nombreux guides conseils en ligne .</t>
  </si>
  <si>
    <t>Brûlures plus ou moins graves.</t>
  </si>
  <si>
    <t>- Port de vêtements de travail et des EPI adaptés.
- Vigilance du personnel.</t>
  </si>
  <si>
    <t>Rappel ou affichage des mesures de prévention en cuisine.</t>
  </si>
  <si>
    <t>- Lors d’utilisation de machines à moteur thermique (tondeuses, débroussailleuse, groupes électrogène) : contact accidentel avec bloc moteur et l’échappement.
- Lors d’utilisation de certain appareils électriques (fer à repasser, fer à souder..).</t>
  </si>
  <si>
    <t>Lecture des consignes d’utilisation des équipements, port des EPI (gants) et vêtements de travail recommandés.</t>
  </si>
  <si>
    <t>Risque d’explosion lié à une fuite de gaz en local (combustible ou comburant)</t>
  </si>
  <si>
    <t>- Contrat d’entretien et de maintenance,
-Respect des interdictions de fumer,
- Vanne de coupure gaz à l’extérieur au niveau du stockage des bouteilles._x000D_</t>
  </si>
  <si>
    <t>-Vérification régulière de la canalisation de gaz de ville sur sa partie privative,
- Suivi périodique des moyens d’extinction adaptés.</t>
  </si>
  <si>
    <t>- Port des EPI (Chaussures de sécurité, gants de manutention).
- Utilisation d'outils d'aide à la manutention (diable, etc...), travail en binôme.</t>
  </si>
  <si>
    <t>- Répartition et fractionnement des charges si possible,
- Stage PRAP (prévention des risques liès à l’activité physique).</t>
  </si>
  <si>
    <t>- Accès en toiture La Garde condamné (absence de protection périphérique, présences de câbles sur le sol) et à Aspretto restreint, intervention sous conditions, signalétique en place.
- Création et diffusion d’une fiche procédure « travaux en hauteur » mise en ligne sur l’intranet.
- Port des EPI recommandés,
- Evolution dans des conditions météorologiques favorables.</t>
  </si>
  <si>
    <t>- Etude de la sécurisation du toit terrasse du PC opérationnel La Garde et toit du sous CROSS (gardes corps, point d’ancrage pour le port d’EPI anti-chute, missions en binôme.).
- Étude sur les sites déportés.</t>
  </si>
  <si>
    <t xml:space="preserve">Mauvaises odeurs dues au réseau d’évacuation, infrastructure vétuste (La Garde). </t>
  </si>
  <si>
    <t>Odeurs incommodantes, nausées.</t>
  </si>
  <si>
    <t xml:space="preserve">- Etude et solution technique chiffrée par un professionnel.
- Aération régulière les locaux.
</t>
  </si>
  <si>
    <t>- Poursuite des investigations sur la recherche des causes.
- Étude d’amélioration de la ventilation._x000D_</t>
  </si>
  <si>
    <t>- Prise en compte des situations de Co-activité :
- inspections communes au préalable avec aide du document RSICP,
- Plan de prévention dans certains cas.</t>
  </si>
  <si>
    <t>- Systématisation des inspections et analyses communes préalables (obligation réglementaire) à chaque intervention, pouvant conduire suivant la nature des travaux, à la rédaction d’un plan de prévention (y compris attestation de consignation, protocole de sécurité, permis de feu, etc...).
- Intégration de cette procédure dans les appels d’offres.</t>
  </si>
  <si>
    <t xml:space="preserve">- Lavage des mains pour se décontaminer et éviter de contaminer les autres.
- Consommation eau minérale + respect des règles d’hygiène alimentaire (nettoyage, propreté).
- Établissements et locaux tenus dans un état d'hygiène et de salubrité nécessaires à la santé du personnel.
- Réalisations en cours des préconisations de la DDPP pour la cuisine de La Garde : mise en place de robinets à commande au genou, accès direct aux toilettes, achat de nouveaux frigos. </t>
  </si>
  <si>
    <t>- Généralisation des glacières isothermes pour les repas en extérieur (respect de la température de conservation des aliments).
- Prévoir en l’absence de point d’eau sur site d’intervention : un jerrican d’eau, du savon et des essuie-mains à usage unique ou du produit hydroalcooliques désinfectant (les gels anti-bactérien ne remplacent pas l’eau et le savon).
- Finalisation des prescriptions de la DDPP</t>
  </si>
  <si>
    <t>- Campagnes de dératisation (Site du fort Sainte marguerite). 
- Lavage des mains pour se décontaminer et éviter de contaminer les autres.
- Port de gant jetables, masques respiratoire, lunettes de protection.
- Eviter tout contact des mains souillées avec ses yeux, son nez, sa bouche.
- Consultation de la fiche prévention sur l’intranet: http://intra.dram-mediterranee.i2/fichesprevention-a1644.html</t>
  </si>
  <si>
    <t xml:space="preserve">- Consultation du MDP (renseignements sur la vaccination).
- Consulter les mesures individuelles de protection de la fiche prévention sur l’intranet.
- Limiter la pullulation des rongeurs.
</t>
  </si>
  <si>
    <t>Campagnes de mesurage réalisées annuellement par organisme accrédité (mesure maxi =15,5 % de la VLEP).
Nouvelles précautions diffusées par le CP (mail 20/05/16) :
- Travaux à réaliser en dehors des périodes estivales, privilégier les heures les moins chaudes.
- Assurer la bonne ventilation du local avant tous travaux ou intervention.
- Éviter de manger et de boire
- Lavage des mains pour se décontaminer et éviter de contaminer les autres
- Avoir à disposition une protection respiratoire adaptée (HGp3) en cas d’incident de débordement ou température élevée et de travail au plus près de la source (cuve).</t>
  </si>
  <si>
    <t>- Moyen de contrôle de température à mettre à disposition pour les sites SPB  équipés de cuve à mercure,
- Consignes à étendre aux intervenants (entreprises extérieures, idem pour l’accès des partenaires utilisateurs sous convention).
- En cas de constat d’incident de débordement: contacter la hiérarchie, le service SPB et le CP.
- En situation de doute d’exposition prendre contact avec le médecin de prévention pour analyses d’urines et sanguines.</t>
  </si>
  <si>
    <t>Risque d’explosion lors de l’approvisionnement en carburant</t>
  </si>
  <si>
    <t>- Installation d’extincteurs à proximité,
- vannes d’arrêt,
- signalisation d’interdiction de fumer.</t>
  </si>
  <si>
    <t>- Généraliser l’installation d’extincteurs à proximité.
- Prestation à faire réaliser par une entreprise spécialisée pour les gros approvisionnements.
- Sensibilisation aux risques.</t>
  </si>
  <si>
    <t>- Détection incendie dans l'atelier du service technique et dans les chambres (La Garde).
- Blocs autonomes d’éclairage de sécurité._x000D_</t>
  </si>
  <si>
    <t>Former le personnel à la manipulation d’extincteurs.</t>
  </si>
  <si>
    <t>Collecte des DTA en cours de réalisation auprès des différents opérateurs hébergeurs (TDF, Orange, Phares et balises)des sites déportés .</t>
  </si>
  <si>
    <t xml:space="preserve">Finaliser la collecte des DTA pour les sites déportés auprès des différents opérateurs hébergeurs (TDF, Orange, Phares et balises).
</t>
  </si>
  <si>
    <t>Incendie lors de l’approvisionnement en carburant</t>
  </si>
  <si>
    <t>Mesures réalisées pose du 16/10/22 au 05/01/23 de détecteurs dans sous-sol de 14 locaux. (sans fenêtre, sans vmc) Absence de point de mesure supérieur à 300 Bq.m-3:
Les activités volumiques en radon mesurées dans les locaux de travail sont toutes inférieures au niveau de référence de 300 Bq/m3 en moyenne annuelle.
Fin de la démarche (sauf si modifications du lieu ou conditions de travail), pas de mesure de réduction du risque.</t>
  </si>
  <si>
    <t>- Maintient des carters et protections des organes en mouvement,
- port des EPI indiqués dans les manuels fabricants, respect des consignes de sécurité.</t>
  </si>
  <si>
    <t>- Formation aux nouveaux arrivants.
- Généraliser les protections individuelles oculaires à correction adaptée selon les besoins évalués.
- Surveillance de l’état de conformité des machines et des outillages.
- Mise en place de protections sur les parties tranchantes quand l’appareil n’est pas utilisé.</t>
  </si>
  <si>
    <t>Vérification et entretien des échappements et des arrivées d’air des locaux de groupe électrogène.</t>
  </si>
  <si>
    <t>Proximité piscine</t>
  </si>
  <si>
    <t>Noyade</t>
  </si>
  <si>
    <t>mise en place d'une barrière à code autour de la zone piscine (entrée involontaire impossible)
établissement d'un ordre permanent (révision annuelle) sur l'utilisation de la piscine (savoir nager, présence toujours à deux…)
piscine bâchée hors période d'utilisation</t>
  </si>
  <si>
    <t>- Port de lunettes de soleil (adaptés à la luminosité) et casquette.
- Prise en compte de l’exposition prolongée au soleil dans la programmation des travaux en extérieur, horaires aménagés.</t>
  </si>
  <si>
    <t>* Port des vêtements adaptés aux ambiances thermiques (lunettes, gants, combinaisons pour le froid, chaussures de sécurité pour le froid, bonnet), mise à disposition de boissons.
- Aménagements des horaires de travail en été (dans certains services, cf. RI chap 3.3 et 1.10).
- Prise en compte des ambiances thermiques dans la planification des tâches (limitation du temps d’exposition, interventions aux heures les plus clémentes)
.</t>
  </si>
  <si>
    <t>- Fourniture de vêtements chauds à généraliser sur le site du CROSS en Corse.
- Adapter les dispositions en fonction des conditions climatiques.</t>
  </si>
  <si>
    <t>- Lampe portable (frontale à privilégier avec piles de remplacement, indispensable dans la dotation) et projecteurs d’appoint.
- Entretien et rénovation de l’éclairage extérieur (La Garde).</t>
  </si>
  <si>
    <t>- Recensement et étude des zones mal éclairées.
- Entretien réglier des systèmes d'éclairage.</t>
  </si>
  <si>
    <t>- Etude et recommandations formulées sur le type d’éclairage optimal sur certains postes.
- Aménagements de certains postes (installation de lampes d’appoint, pose de stores aux fenêtres),
- Installation de lampes d’appoint, pose de stores, film filtre spécial sur vitre sur les postes du PC opérationnel.</t>
  </si>
  <si>
    <t>Généralisation des solutions d'adaptations ergonomiques (consultation des nombreux guides conseils en ligne, voir R.28), étude de l’éclairement du poste de travail (contacter le CP si besoin).</t>
  </si>
  <si>
    <t>Veiller au respect de l'amplitude maxi en été._x000D_</t>
  </si>
  <si>
    <t xml:space="preserve">* Déplacements en binôme pour les travaux dangereux (exemple : travaux électrique, en hauteur, etc).
-Téléphones mobiles, tout moyen de communication permettant un contact régulier, fréquent et un suivi à distance avec les intervenants isolés, protocole de signalement (début d’intervention, fin d’intervention).
-Aspretto : intervention uniquement le jour, contact régulier du technicien pendant l’intervention avec le centre secondaire, téléphone équipé d’un dispositif d’Alarme pour travailleur Isolé (DATI), accompagnement si possible par un agent du sous CROSS.
présence d'un défibrillateur en salle opérationnelle
contrôle annuel régelementaire du défibrillateur
information sur l'utilisation lors des P11
bénéficier de personnel détenteur de l'AFPS (recyclage à jour)
</t>
  </si>
  <si>
    <t>- Recherche de concours possibles de la part d’autres services de l’État, extension du partenariat.
-Partenariat en cours en Corse et à Port Vendres (Néolous).
-Information ( voir document INRS ED6288 site web) et instructions sur l’organisation et mesures aux agents susceptibles d’intervenir dans ces situations,
-définition explicite des tâches assignées afin d’éviter toute ambiguïté, tout dépassement et pour amener à une prise de conscience de la problématique.
-Intervenir dans des conditions météorologiques favorables._x000D_</t>
  </si>
  <si>
    <t>- Respect des consignes FDS : ne pas fumer, ni de flammes nues et d’étincelles, ventilation du local, port des EPI.
- Remplacement des modèles à électrolytes liquide par batteries au gel.
- Lavage des mains pour se décontaminer et éviter de contaminer les autres.</t>
  </si>
  <si>
    <t>Projection d’objets due au souffle rotor d’un hélicoptère</t>
  </si>
  <si>
    <t>Procédure d’évacuation du périmètre par diffusion générale d’une annonce sur le site de La Garde</t>
  </si>
  <si>
    <t>Généralisation des mesures existantes:
- Meilleure préparation des déplacements,
- utilisation de véhicules adaptés en fonction des missions et des sites (sous-cross Aspretto) --&gt; en corse ils doivent équiper les véhicules de penu de meilleur qualité
- établir et/ou diffuser un plan de circulation/stationnement par site,
- équiper les véhicules de lingettes nettoyantes vitres (visibilité, buée).
- PPRR à finaliser, sensibilisation aux risques routiers, stages.</t>
  </si>
  <si>
    <t>6. CSN</t>
  </si>
  <si>
    <t>CSN PACA Corse et Occitanie</t>
  </si>
  <si>
    <t>Tous sites inspections CSN  (Navires, ateliers, chantiers ..)</t>
  </si>
  <si>
    <t>MARTINEZ.P JEHANNO.P</t>
  </si>
  <si>
    <t>- Respect du code de la route, prise en compte des recommandations de la prévention routière sur les temps de repos,
- vérification visuelle du véhicule avant chaque déplacement, 
- préparation des déplacements,
- suivi et entretien régulier des véhicules, contrôle technique,
- utilisation des outils de (télé)communications (internet, visioconférence) permettant d’éviter certains déplacements,
- trajets sur autoroutes privilégiés (cartes de télépéages généralisées),
- utilisation de véhicules adaptés,
- respect de la charte sur l’utilisation des véhicules de service (disponible sur l’intranet),
- covoiturage,
- en cas de panne, accident, crevaison, panne/erreur de carburant, vol/vandalisme, perte de clés/carte démarrage contacter le n° d’assistance inscrit dans les pochettes véhicules.
- Voir aussi le risque 29 lié aux conditions de travail particulières (horaires décalés, astreinte).</t>
  </si>
  <si>
    <t>* Equiper les véhicules de lingettes nettoyantes vitres (visibilité, buée).
* PPRR à finaliser, sensibilisation aux risques routiers, stages.
* Identification des agents réalisants le plus de km à l'année</t>
  </si>
  <si>
    <t>Configuration accidentogène des navires et déplacements à bord</t>
  </si>
  <si>
    <t>* Protections individuelles (casque, gants, chaussures à semelle anti-dérapantes, harnais+longe).
* Utilisation de VHF, téléphone portable.
* Possibilité de suspendre la visite si les conditions d’accès sont trop difficiles conformément aux instructions MOU.
* Lorsque les moyens humains disponibles dans le service le permettent, le contrôle des navires de plus de 500 ou étrangers est effectué par 2 inspecteurs (1/3 des PSC sont réalisés seul)
*Sensibilisation sur ce type d’accident.
*Coordination avec le pilote, prise en compte de la météo, du trafic maritime (vagues de sillage).
*Les chaussures sont aux nromes anti-dérapentes 
*Pour les navires aux mouillages les inspecteurs ont des VFI</t>
  </si>
  <si>
    <t xml:space="preserve">*Prise en compte de la difficulté d’accès, éviter de monter chargé (fractionnement des charges).
*Formation et reçyclage aux premiers secours PSC1 à prévoir. </t>
  </si>
  <si>
    <t xml:space="preserve">Accès à divers terminaux à risques et/ou navires à risques (chimiquiers), ateliers et chantiers de réparation navale; en exploitation : Inhalation ou contact avec des gaz, produits toxiques, chimiques (solvants, batteries, vapeurs de fuel, vapeurs d’huiles) ou par projection accidentelle.
</t>
  </si>
  <si>
    <t>Perte de conscience, brûlure, suffocation, irritation de la peau , des yeux, affection des voies respiratoires, intoxication légère à grave ou mortelle, conséquences à long terme d'une exposition à des produits dangereux (cancer, altération génétique, …)._x000D_</t>
  </si>
  <si>
    <t>* Mise à disposition de 20 détecteurs gaz* (5 Sète, 1 Corse, 6 Martigues, 8 MRS) et de kits d’évacuation EEB 
- Achat d’un banc d’étalonnage de détecteurs gaz : test tous les ans
- Réalisation de vestiaires conformes dans les locaux du CSN PACA Corse (armoires à doubles compartiments, douches).
- Certains sites sont équipés de lave-linge.</t>
  </si>
  <si>
    <t>* Sensibilisation, formation aux consignes de sécurité spécifiques des terminaux à risque (étude faisabilité sur tous les ports de la façade).
* Traçabilité des expositions : intégration des données collectées dans la fiche individuelle de prévention des expositions à certains facteurs de risques (mise à jour annuelle).
*Se renseigner sur le besoin en équipement ATEX notamment les bleus de travail et chaussure
*Réparation des détecteurs défectueux ou rachat
*Mettre à jour la fiche d'équipement (2014)</t>
  </si>
  <si>
    <t>Perte de conscience, décès.</t>
  </si>
  <si>
    <t>* Mise à disposition de 20 détecteurs gaz* (5 Sète, 1 Corse, 6 Martigues, 8 MRS) et de kits d’évacuation EEB 
- Achat d’un banc d’étalonnage de détecteurs gaz : test tous les ans</t>
  </si>
  <si>
    <t xml:space="preserve">Accident avec véhicule de manutention (piéton et voiture).
</t>
  </si>
  <si>
    <t>Décès, traumatisme.</t>
  </si>
  <si>
    <t>- Port de vêtement à haute visibilité ou chasubles fluorescents, consignes, respect des règles particulières de circulation en zone portuaire.
- Sensibilisation et formation à la sécurité des sites portuaires préalable (si existante)._x000D_</t>
  </si>
  <si>
    <t>- Recensement des formations nécessaires en zone sensibles, généralisation de ces formations à la sécurité ou mise en réseau des supports de formation en lien avec les gestionnaires de sites portuaires lorsque ceux_x0002_ci existe.
- Allumage systématique des warning en zone portuaire à risque.</t>
  </si>
  <si>
    <t>Locaux-bureaux tous CSN</t>
  </si>
  <si>
    <t>-  Installation de goulottes au sol pour la protection et le passage de câbles, rangement des câbles bureautiques, revêtements antidérapants.
- Dégagement des voies de circulation.
- Balisage réflexe (signalétique temporaire) des zones à risques.</t>
  </si>
  <si>
    <t xml:space="preserve">* Généralisation des revêtements antidérapants sur les nez de marches et de pose de signalétique indiquant le danger.
*Anticipation de l’espace d’archivage (y compris archives vivantes).
*Pose systématique de trépied de sécurité (sol glissant) après nettoyage des sols (responsabilité du personnel de nettoyage).
</t>
  </si>
  <si>
    <t>Cheminements, accès difficile à bord, notamment dans les espaces sous pont à bord des petits navires (mauvaise ergonomie du poste de travail).</t>
  </si>
  <si>
    <t>Troubles musculo-squelettiques.</t>
  </si>
  <si>
    <t>Suivi médical (contrôle des contre-indications physiques lors de la visite médicale annuelle), aménagements de poste sur prescription du médecin de prévention.</t>
  </si>
  <si>
    <t>Formation des agents (gestes et postures)</t>
  </si>
  <si>
    <t>*Respect des amplitudes d’horaires et des durées de repos quotidien (Cf.RI relatif à l’aménagement et à la réduction du temps de travail).
*Vérifier le classement des compagnies aériennes sur le site du département mobilité et transports de la CE.
*Vigilance sur le respect des temps de travail (suivi, bilan, analyse).
* Renforcement des équipes pour les visites de mise en service.
* Étude sur la composition des équipes à l’étranger.</t>
  </si>
  <si>
    <t>Lésions diverses (pincement, coupure, écrasement)._x000D_</t>
  </si>
  <si>
    <t>- Protections collectives (carters), respect des procédures du bord.
- Pas de déplacements seul à bord. 
- Sensibilisation sur ce type d’accident : pas de port de vêtement flottants, cheveux longs, les bijoux (chaînes, colliers).</t>
  </si>
  <si>
    <t>Vigilance particulière en fonction de l’état des équipements à contrôler (essais)._x000D_</t>
  </si>
  <si>
    <t>- Port de (PICB) protections individuelles contre le bruit adaptés (casques antibruit, protections auditives sur mesures).
- Surveillance médicale annuelle._x000D_</t>
  </si>
  <si>
    <t>Renouveler les protections auditives adaptées et sur mesure.</t>
  </si>
  <si>
    <t>- Lavage des mains régulier pour se décontaminer et éviter de contaminer les autres ou utilisation de produit hydroalcooliques désinfectant (les gels anti_x0002_bactérien ne remplacent pas l’eau et le savon).
- En général pas de contact des mains souillées avec ses yeux, son nez, sa bouche.
- Vestiaires, douches, matériel de lavage des vêtements._x000D_</t>
  </si>
  <si>
    <t>Exposition lors de déplacements à l’étranger ou personnel venant de l'étranger</t>
  </si>
  <si>
    <t>Maladie bénigne à mortelle (SRAS, grippe A, tuberculose, Ebola, Marbour...).</t>
  </si>
  <si>
    <t xml:space="preserve">* Veille, diffusion et respect des consignes sanitaires gouvernementales.
- Mise à jour du carnet de vaccination.
- Fiche réflexe EBOLA de la DAM.
</t>
  </si>
  <si>
    <t>- Suivi médical du MDP et permanence ASS, groupe de coordination médico-social.
- Mise en œuvre d’un plan d’évaluation et de prévention des RPS dans le cadre du plan national d’action, plan d’actions en cours.</t>
  </si>
  <si>
    <t>Fatigue, irritation de la peau, hyperthermie, malaise, déshydratation.</t>
  </si>
  <si>
    <t>- Suivi médical (contrôle des contre-indications physiques lors de la visite médicale annuelle), aménagements de poste sur prescription du médecin de prévention.
- Hydratation et limitation du temps d’exposition.</t>
  </si>
  <si>
    <t>CSN PACA Corse (Antenne)</t>
  </si>
  <si>
    <t xml:space="preserve">Martigues-Antenne CSN PACA Corse </t>
  </si>
  <si>
    <t>Pascal JEHANNO</t>
  </si>
  <si>
    <t>Depuis le 1er juillet 2018, la réglementation intègre ce risque dans la démarche de prévention des risques professionnels.
Ainsi, tous les lieux de travail situés en sous-sol ou en rez-de-chaussée doivent faire l’objet d’un dépistage radon, soit par l’employeur lui-même soit par un prestataire agréé. Le but recherché étant de réduire les concentrations aussi bas que possible dans les locaux dans lesquels les agents séjournent sur des durées importantes.</t>
  </si>
  <si>
    <t xml:space="preserve">Consultations du potentiel radon par communes (ex catégorie 3 : communes du 83, 06, 2B et 2A) </t>
  </si>
  <si>
    <t>Démarche préventive et consignes : 
- vérifications des installations d’eau chaude sanitaire particulièrement si présence de bras morts et/ou peu utilisées,
- éventuellement analyses de l’eau,
- Réglage et maintient de la température de l’eau chaude sanitaire à 45°C (mini) en sortie (robinets, douches...)
- laisser couler l’eau quand elle a stagné.
- Démarche curative : (choc thermique ,chlore)._x000D_</t>
  </si>
  <si>
    <t>Lésions diverses (oculaires, coupures, traumatisme), décès.</t>
  </si>
  <si>
    <t>- Mise à disposition de protections individuelles (casque, lunettes, gants, chaussures, vêtements de travail).
- Sensibilisation sur ce type d’accident.</t>
  </si>
  <si>
    <t>Chute de charges lourdes lors d’opérations de manutention (grues, portique, portuaire)</t>
  </si>
  <si>
    <t>Choc, traumatisme.</t>
  </si>
  <si>
    <t>* Protections individuelles (casque obligatoire, gants, chaussures de sécurité).
*Sensibilisation sur ce type d’accident : ne pas rester dans la zone de manutention.</t>
  </si>
  <si>
    <t>* Port systématique du VFI à flottabilité additionnelle (150 N) en navigation lorsqu’il y a une risque de chute à la mer.
* Respect des procédures bord, rappel avant visite à l’armateur sur les conditions d’accès dues.
* Lorsque les moyens humains disponibles dans le service le permettent, le contrôle des navires de plus de 500 ou étrangers est effectué par 2 inspecteurs. 
* Sensibilisation sur ce type d’accident.</t>
  </si>
  <si>
    <t xml:space="preserve">- Formations : comportement à adopter en cas de chute à l’eau.
- Vigilance particulière : 
=&gt;Prise en compte de la difficulté d’accès, éviter de monter chargé (fractionnement des charges).
=&gt;Coordination avec le pilote, prise en compte de la météo, du trafic maritime (vagues de sillage).
</t>
  </si>
  <si>
    <t>- Analyse de la situation, selon l’appréciation de l’ISN (documents, droit de retrait, rappel systématique à l’armateur des exigences) conformément aux instructions PSC et nationales et à la partie II (version à jour du 5 juin 2018) de la circulaire DAM-RH du 27 mars 2017, 
IV Procédures de prévention du risque amiante spécifiques aux interventions à bord des navires.
- Kit amiante disponibles (combinaisons, sac, masques jetables FFP3) CSN Paca Corse et Occitanie.
- Pour les locaux demande des DTA, repérages et suivi des recommandations du diagnostiqueur (surveillance de l’état de dégradation des MCA détectés, mesures d’empoussièrement...).
- Réalisation de vestiaires conformes dans certains locaux du CSN (armoires à doubles compartiments, douches).
- Certains sites sont équipés de matériel de lavage des vêtements de travail souillés.</t>
  </si>
  <si>
    <t>- Généralisation de la mise à disposition de « kit amiante », conformément à la circulaire DAM du 27 mars 2017 (version à jour du 5 juin 2018).
- Analyse de la situation, selon l’appréciation de l’ISN (documents, droit de retrait, rappel systématique à l’armateur des exigences) conformément aux instructions PSC et nationales et à la partie II (version à jour du 5 juin 2018) de la circulaire DAM-RH du 27 mars 2017, 
IV Procédures de prévention du risque amiante spécifiques aux interventions à bord des navires.
- Liste des navires suspects tenues au niveau de chaque CSN.
- Documents traçabilité amiante à renseigner pour les travailleurs potentiellement exposés.</t>
  </si>
  <si>
    <t>Antennes CSN (agents hébergés) en PACA, Corse et Occitanie</t>
  </si>
  <si>
    <t>Des Antennes du CSN (PACA Corse et Occitanie) sont hébergées sur plusieurs sites.
Pour ce risque veuillez vous reporter au site hébergeur dans l’unité « 8.GESTIONNAIRE SITE » pour visionner les mesures (existantes ou à proposer) qui concernent l’Antenne du CSN.</t>
  </si>
  <si>
    <t>Électrisation, électrocution,fibrillation, lésions internes, externes.</t>
  </si>
  <si>
    <t>*Respect des procédures du bord.
*Pas de déplacements seul à bord. 
* Les contrôles se réalisent seulement au voisinage des installations et équipements électriques.
*habilitation B0-H0</t>
  </si>
  <si>
    <t xml:space="preserve">*Rendre obligatoire l'habilitation électrique (B0, H0 H0V) 
* Poursuivre la dispance des formations PSC1
</t>
  </si>
  <si>
    <t>Vérification périodique des dispositifs de lutte contre les débuts d’incendies dans les locaux (attente du dernier contrôle).</t>
  </si>
  <si>
    <t>- Assurer, les contrôles périodiques des moyens de lutte contre les débuts d'incendies dans les locaux (à renseigner dans la fiche sécurité du DUERP), diffusion des consignes et installation d’une signalétique appropriée.
- Éviter de stocker des emballages, du matériel ou autres dans les dégagements (couloirs, portes, issues…), respecter les largeurs d’unité de passage.
- Formation à l’utilisation des extincteurs.</t>
  </si>
  <si>
    <t>Incendie à bord du navire ou sur les installations portuaires.</t>
  </si>
  <si>
    <t xml:space="preserve">- Vérification de la qualification des nouveaux arrivants.
- Respect des consignes de sécurité du bord. </t>
  </si>
  <si>
    <t xml:space="preserve">Sensibilisation, formation aux consignes de sécurité spécifiques des terminaux à risque. </t>
  </si>
  <si>
    <t>Vérification périodique réglementaire (tous les 6 mois) et maintenance des systèmes (attente de retour du dernier contrôle).</t>
  </si>
  <si>
    <t>Le suivi des vérifications périodiques réglementaires doivent être assurés sur les sites de la DIRM (à renseigner dans la fiche sécurité du DUERP).</t>
  </si>
  <si>
    <t xml:space="preserve">Lors des inspections : fermeture des portes de sécurité étanches.
</t>
  </si>
  <si>
    <t>Écrasement, cisaillement (dommages, lésions ,décès).</t>
  </si>
  <si>
    <t xml:space="preserve">Sensibilisation sur ce type d’accident. </t>
  </si>
  <si>
    <t>Intervention avec l’équipe d’évaluation à bord d’un navire en difficulté (avarie, incendie...)._x000D_</t>
  </si>
  <si>
    <t>Traumatisme léger à mortel, noyade, tout type d'accident, mal de mer.</t>
  </si>
  <si>
    <t>Appréciation de la situation par le cadre de permanence, réflexion sur l’utilité et les modalité de l’intervention, recherche d’une alternative._x000D_</t>
  </si>
  <si>
    <t>Panne en zone dangereuse (autoroute), circulation en zones industrielles portuaires, bordure de quai, sol minéralier…</t>
  </si>
  <si>
    <t>- Suivi et entretien régulier des véhicules, contrôle technique,
- dotation en téléphones portables.
- en cas de panne, accident, crevaison, panne/erreur de carburant, vol/vandalisme, perte de clés/carte démarrage contacter le n° d’assistance inscrit dans les pochettes véhicules,
- en cas de panne ou d’accident : port du gilet fluorescent, triangle de signalisation, maintien à distance de la chaussée dans l’attente de l’assistance._x000D_</t>
  </si>
  <si>
    <t>- Recensement des besoins en marteau brise_x0002_vitre + décision commune d’emplacement commun (ex : boite à gants des véhicules).
- Prise des consignes (numéros utiles) à l’accueil des sites à risques.</t>
  </si>
  <si>
    <t>Dispositifs de sécurité défaillants lors d'essais, proximité de conduites ou réservoirs sous pression, fuite HP en salle des machines ou compartiment moteur à bord des petits navires._x000D_</t>
  </si>
  <si>
    <t>- Mise à disposition de protections individuelles (casque, lunettes, gants, chaussures), vêtement de travail peu inflammables.
- Respect des consignes bord, contrôle des installations du bord._x000D_</t>
  </si>
  <si>
    <t>Explosion accidentelle lors d’un contrôle des fusées de détresse, de lance amarre.</t>
  </si>
  <si>
    <t>Brûlures légères à graves, dommages, lésions.</t>
  </si>
  <si>
    <t>Vigilance sur l’état apparent des fusées et lance amarres avant leur manipulation._x000D_</t>
  </si>
  <si>
    <t>Exposition aux poussières et particules diverses (céréales, charbon, poussières de fibres de verre dans les chantiers ou lors de travaux à bord...)._x000D_</t>
  </si>
  <si>
    <t>Irritations des muqueuses, affections respiratoires._x000D_</t>
  </si>
  <si>
    <t>- Port de protections individuelles (Masque FFP1, lunettes ou masque de protection des yeux en cas de vent).
- Surveillance médicale annuelle.
- Réalisation de vestiaires conformes dans les locaux du CSN PACA Corse (armoires à doubles compartiments, douches).
- Certains sites sont équipés de lave-linge.</t>
  </si>
  <si>
    <t>Risques d’agression lors de déplacements professionnels à l’étranger</t>
  </si>
  <si>
    <t>Traumatismes psychologiques ou physiques.</t>
  </si>
  <si>
    <t>- Prise en compte des recommandations du ministère des affaires étrangères. 
- Interdiction de déplacement dans certains pays (ex : Nigéria)._x000D_</t>
  </si>
  <si>
    <t>Informer le consulat du déplacement de la commission de visite (ordre de mission)._x000D_</t>
  </si>
  <si>
    <t xml:space="preserve">Mauvaises conditions météo à bord d’un navire. </t>
  </si>
  <si>
    <t>Mal de mer.</t>
  </si>
  <si>
    <t>Médication à prévoir._x000D_</t>
  </si>
  <si>
    <t>- Information sur environnement de travail, pauses régulières toutes les 2h, alternance des tâches,
- Préconisations ergonomie aux agents installés à Zattara (remplacement de certains fauteuils).
- Aménagements de certains postes : acquisition, remplacement et adaptation du matériel de bureau afin d’améliorer l’ergonomie (plan de travail ,fauteuil, écrans, portes-documents, repose-pieds..)._x000D_</t>
  </si>
  <si>
    <t>- Réalisation partielle de plan de prévention, signalisation, étiquetage.
- Inspections communes au préalable avec aide du document RSICP.</t>
  </si>
  <si>
    <t>Morsures, blessures, maladies (grippe aviaire, peste porcine..).</t>
  </si>
  <si>
    <t>- Pour le contrôle des bétaillères, programmation de la visite avant l’arrivée des animaux.
- Veille des consignes sanitaires, port des EPI jetables recommandés._x000D_</t>
  </si>
  <si>
    <t>Archivage des consignes sanitaires et fiches réflexe.</t>
  </si>
  <si>
    <t>Traumatisme physique et psychique, stress.</t>
  </si>
  <si>
    <t>- Téléphones portables.
- Procédure interne de signalement des agressions.
- Visite conduite par 2 inspecteurs lorsqu’un risque d’agression est identifié.</t>
  </si>
  <si>
    <t>- Remontées systématique d'incidents pour prise en compte ultérieure.</t>
  </si>
  <si>
    <t>Divers, dommages aggravés par l’impossibilité de prévenir les secours.</t>
  </si>
  <si>
    <t>Téléphones mobiles, tout moyen de communication permettant un contact régulier, fréquent et un suivi à distance avec les collègues, la famille.</t>
  </si>
  <si>
    <t xml:space="preserve">- Information et instructions sur l’organisation et mesures aux agents susceptibles d’être dans ces situations,
- définition explicite des tâches assignées afin d’éviter toute ambiguïté, tout dépassement et pour amener à une prise de conscience de la problématique . </t>
  </si>
  <si>
    <t>1. Réalisation de repérages des MPCA puis constitution des dossiers techniques amiante (DTA = synthèse des diagnostics et actions) du site.
2. Communication de repérages au CP (voir document attaché) pour actualiser le tableau de synthèse mis en ligne sur l’intranet (dont le but est de : faciliter la consultation de l’historique par site et permettre l’identification des matériaux/produits contenants de l’amiante et donc éviter toute intervention malencontreuse dessus ou à proximité).
3. Pas de présence d’amiante repérée dans le bâti.</t>
  </si>
  <si>
    <t>- Vérification visuelle de l’état du matériel électrique (ex :prolongateurs) avant usage, signalement de l’état du matériel endommagé à la hiérarchie et remplacement.
- Acquisition de matériel conforme à la norme en vigueur, respect de la puissance maximale indiquée sur les prolongateurs et multiprises.
- Maintient des portes des tableaux et coffrets en position fermée.
- Vérification périodique des installations électriques assurrée, pour rétablir la conformité des installations (levée des observations/réserves).
- Reçyclage habilitation du personnel concerné (suivi du titre à assurer).</t>
  </si>
  <si>
    <t>- Suivi périodique de la conformité des installations électriques (à renseigner dans la fiche sécurité du DUERP), levées de réserves pour rétablir la conformité en partie assurées.
- Utilisation du matériel conformément aux spécifications du fabricant.</t>
  </si>
  <si>
    <t>Risque d’explosion externe (installations SEVESO, navires-citernes, réservoirs)</t>
  </si>
  <si>
    <t>- Respect des consignes de sécurité : du bord (extinction des téléphones et appareil photo notamment) et des sites (installation portuaire  si existantes et communiquées).
- Mise à disposition de 20 détecteurs gaz* (5 Sète, 1 Corse, 6 Martigues, 8 MRS) et de kits d’évacuation EEB , respect des procédures bord si existantes et communiquées (ventilation préalable des locaux et autorisation expresse du capitaine et du Port)._x000D_</t>
  </si>
  <si>
    <t>- Sensibilisation, formation aux consignes de sécurité spécifiques des terminaux à risque (étude faisabilité sur tous les ports de la façade).
- Rédaction d’une liste spécifique pour chaque établissement industriel (équipement, formation, consignes de sécurité,exposition variant selon les sites).
- Définition des dotations d'EPI et vêtement de travail en fonction des sites portuaires et des navires.
- Test de fonctionnement et étalonnage régulier des détecteurs à réaliser (périodicité d'étalonnage tous les 6 mois et révision de la centrale tous les 24 mois ).</t>
  </si>
  <si>
    <t>Stérilité, lésions diverses (brûlures, nécroses), cancer.</t>
  </si>
  <si>
    <t xml:space="preserve">- Respect des consignes de sécurité élémentaires (stopper le radar), respect des périmètres d’évitement autour des zones d’émission de sources radioélectriques.
- Pas de déplacements seul à bord. </t>
  </si>
  <si>
    <t>Vigilance particulière.</t>
  </si>
  <si>
    <t>Stérilité, lésions diverses (brûlures, nécroses, cataracte), cancer.</t>
  </si>
  <si>
    <t>Visites systématiquement effectuées conjointement avec des inspecteurs de la sûreté nucléaire (ASN).</t>
  </si>
  <si>
    <t>- Formalisation du partenariat avec l’ASN.
- Complément de formation du personnel concerné si possible par un spécialiste (ASN).
- Information aux agents des risques auxquels ils sont exposés, suivi médical approprié (décret 2003-296).
- Réflexion sur la mise à disposition de matériel adapté (film enregistreur, dispositif de mesure des radiations avec alarme).
- Ciblage des lignes à risques sur trafic illicite.</t>
  </si>
  <si>
    <t>Lampe portable (frontale à privilégier avec piles de remplacement, indispensable dans la dotation) et projecteurs d’appoint._x000D_</t>
  </si>
  <si>
    <t>Vigilance sur le réglage de la climatisation: Il est fortement déconseillé de dépasser les 8°C d'écart entre l'intérieur et l'extérieur (ex pour  30°C à l’extérieur il serait raisonnable de se contenter de 22°C minimum à l'intérieur)._x000D_</t>
  </si>
  <si>
    <t>Décès, maladie.</t>
  </si>
  <si>
    <t>- Carnet de vaccination à jour selon les recommandations de l’OMS en fonction des pays visités. 
- Prise en compte des recommandations du ministère des affaires étrangères.
- Suivi médical annuel.
- Pour le contrôle des bétaillères, programmation de la visite avant l’arrivée des animaux.</t>
  </si>
  <si>
    <t>Demande d’avis du médecin de prévention sur la vaccination contre l’hépatite A des agents qui effectuent des visites PSC.</t>
  </si>
  <si>
    <t>- Port des vêtements adaptés aux ambiances thermiques (lunettes, gants, combinaisons pour le froid, chaussures de sécurité pour le froid, bonnet), mise à disposition de boissons.
- Prise en compte des ambiances thermiques dans la planification des tâches.</t>
  </si>
  <si>
    <t>Proximité d’activité de meulage, soudure (navire, chantier naval).</t>
  </si>
  <si>
    <t>Traumatisme oculaire, brûlure.</t>
  </si>
  <si>
    <t>- Mise à disposition de protections individuelles (casque ,lunettes, gants, chaussures, vêtements de travail).
- Respect des consignes du bord et/ou du chantier naval._x000D_</t>
  </si>
  <si>
    <t>Prendre les consignes auprès du coordinateur de chantier, sensibilisation aux risques des activités de chantier._x000D_</t>
  </si>
  <si>
    <t>Infections alimentaires, intoxication, maladies diverses (leptospirose...).</t>
  </si>
  <si>
    <t>- Contrôle des cuisines, réfrigérateurs et cambuses.
- Consommation de boissons en bouteille. 
- Contrôle des vaccinations requises par le médecin de prévention.</t>
  </si>
  <si>
    <t>- Port de lunettes de protection solaires à indice UV adapté (si possible polarisées).
- Prise en compte de l’exposition prolongée au soleil dans la programmation des inspections en extérieur.</t>
  </si>
  <si>
    <t>- Les modèles polycarbonate se rayent facilement : prévoir leur renouvellement et/ou un étui de stockage.
Rappel des bonnes pratiques (port de casquette, et vêtements adaptés, etc...), renouvellement des dotations d’EPI (lunettes de soleil avec indice UV adapté et crème solaire).</t>
  </si>
  <si>
    <t>CSN Occitanie</t>
  </si>
  <si>
    <t xml:space="preserve"> Sète-CSN Occitanie</t>
  </si>
  <si>
    <t>PHILIPPE MARTINEZ</t>
  </si>
  <si>
    <t xml:space="preserve">Consultations du potentiel radon par communes (ex catégorie 3 : communes du 83, 06, 2B et 2A) sur le site de l’IRSN ou l’arrêté du 27 juin 2018 portant délimitation des zones à potentiel radon du territoire français. </t>
  </si>
  <si>
    <t>Sète et PLN pas concerné</t>
  </si>
  <si>
    <t>1. Réalisation d’un repérage des Matériaux et produits pouvant contenir de l’amiante (MPCA) du site.
2. Communication du repérage au CP (voir document attaché) pour actualiser le tableau de synthèse mis en ligne sur l’intranet (dont le but est de : faciliter la consultation de l’historique par site et permettre l’identification des matériaux/produits contenants de l’amiante et donc éviter toute intervention malencontreuse dessus ou à proximité).
3. Consigne reçue: Les interventions et/ou retraits de produits ou matériaux contenants de l’amiante (friable et non friable) sont non autorisés en régie (code du travail SS3 et SS4).
NB : L’évaluation de l’état de dégradation par un opérateur certifié des matériaux/produits amiantés identifiés est recommandée tous les 36 mois..</t>
  </si>
  <si>
    <t xml:space="preserve">1. Mise en œuvre et suivi des conclusions du diagnostiqueur au niveau de la zone des combles (obligation réglementaire du propriétaire), afin de réaliser un repérage des Matériaux et produits pouvant contenir de l’amiante sur l’ensemble des locaux du site qui ne sont pas totalement diagnostiqués à ce jour (puis communication du repérage au CP pour actualiser le tableau de synthèse mis en ligne sur l’intranet).
2. En cas de présence d’amiante repérée : un contrôle périodique d’évaluation de l’état de dégradation des matériaux/produits amiantés identifiés est à réaliser (par un opérateur certifié recommandé tous les 36 mois).
3. En cas de présence d’amiante repérée : Identifier (par une signalétique à poser) les MCA afin d’éviter toute intervention par inadvertance.
4. Communication du DTA du site à tout prestataire/intervenant (prévu par le plan de prévention en cas de co-activité).
5. Réaliser un repérage avant travaux (obligatoire cf. arrêté du 16 juillet 2019) afin de rechercher la présence d’amiante dans le bâti, préalablement à toute opération comportant des risques d’exposition des travailleurs.
6. Renseigner les derniers éléments dans la fiche sécurité du DUERP du site et les communiquer au CP.
7. Documents individuels de traçabilité amiante à renseigner pour les travailleurs potentiellement exposés.
</t>
  </si>
  <si>
    <t>- Vérification périodique des dispositifs de lutte contre les débuts d’incendies dans les locaux (attente de retour).
- Plan d’évacuation, signalétique installés.</t>
  </si>
  <si>
    <t xml:space="preserve">Aucune, vérifier si le site est équipé de systèmes à automatisme destinés à l'usage des agents DIRM (barrières, portes, portails automatiques..) faisant l’objet de contrôles et de maintenance périodiques . </t>
  </si>
  <si>
    <t>- Vérification visuelle de l’état du matériel électrique (ex :prolongateurs) avant usage (par tout agent), signalement de l’état du matériel endommagé à la hiérarchie et remplacement.
- Acquisition de matériel conforme à la norme en vigueur, respect de la puissance maximale indiquée sur les prolongateurs et multiprises.
- Maintiens des portes des tableaux et coffrets électriques en position fermée.
- Vérification périodique des installations électriques et mise en conformité des installations (attente retour).</t>
  </si>
  <si>
    <t>7. SSGM</t>
  </si>
  <si>
    <t>SSGM-Méditerranée</t>
  </si>
  <si>
    <t xml:space="preserve">Tous sites SSGM de Méditerranée (Agents hébergés) </t>
  </si>
  <si>
    <t>Blessures psychiques, stress et/ou physiques.</t>
  </si>
  <si>
    <t>Christophe DUPORT</t>
  </si>
  <si>
    <t>- Prise en charge collective des cas difficiles.
- Communication interne, temps de partage collectifs (repas, debriefing).
- Besoin en formation à la gestion du public à risque recenser dans le plan d’action RPS.
- sur site hébergé : calage des horaires sur ceux du personnel du service hébergeur.
- Procédure interne de signalement des incidents/agressions._x000D_</t>
  </si>
  <si>
    <t xml:space="preserve"> Une expérience en situation professionnelle au poste d’accueil serait bénéfique pour appréhender ces situations.
- Ecoute de l’agent victime pour analyse et prise en compte ultérieure,
- formation des agents les plus exposés : voir préconisation enquête RPS
- Remontées systématiques des incidents à la hiérarchie.
</t>
  </si>
  <si>
    <t>- Installation de goulottes au sol pour la protection et le passage de câbles, rangement des câbles bureautiques, revêtements antidérapants sur certains sites.
- Dégagement des voies de circulation.
- Balisage réflexe (signalétique temporaire) des zones à risques.
- Achat de trépied de signalement du sol glissant (site Zattara).
- Nice : suite à un accident : pose de signalétique indiquant le dénivelé._x000D_</t>
  </si>
  <si>
    <t xml:space="preserve">
*Généralisation des revêtements antidérapants sur les nez de marches et de pose de signalétique indiquant le danger.
- Anticipation de l’espace d’archivage (y compris archives vivantes).
- Pose systématique de trépied de sécurité (sol glissant) après nettoyage des sols (responsabilité du personnel de nettoyage).
Zattara :
- Archives lors de l’accès au sous-sol, prévenir un collègue sur la situation isolée, vigilance sur la présence au retour.
- Port du badge d’accès surtout lors des heures les moins fréquentées.
- Pose de protections sur les rampes d’élévateurs handicapés situées au bas des 3 escaliers.</t>
  </si>
  <si>
    <t>- Lampes de bureaux individuelles, stores aux fenêtres, relamping et réglage des luminaires direct/indirect sur pied de Zattara.
- Etude et recommandations formulées sur le type d’éclairage optimal sur certains postes.</t>
  </si>
  <si>
    <t>Étude technique /devis en vue d'une amélioration (suppression de la détection automatique).</t>
  </si>
  <si>
    <t>Risque Biologique</t>
  </si>
  <si>
    <t>Absence de suivi de traitement des déchets d'activité de soins à risques infectieux (BSDASRI).</t>
  </si>
  <si>
    <t>*Possiblité de fusionner les fichers déjà existants du suivi de la traçabilité des dechets dangereux avec la plateforme "Trackdéchets" pour être conforme à la règlementation au 1er janvier 2023,
*S'équiper BSDASRI ou suppression de l'activité</t>
  </si>
  <si>
    <t>Lors des consultations et examen médicaux : exposition accidentelle aux liquides biologiques (déchets médicaux, analyses d’urines, vaccinations).</t>
  </si>
  <si>
    <t>Maladies et/ou pathologie selon source de contamination.</t>
  </si>
  <si>
    <t>Depuis longtemps, ils ne réalisent plus de manipulation de fluides biologiques, sauf pour les prélèvements urinaires.
Une protection spécifique est utilisée lors de la manipulation.
La température est vérifiée à l’aide d’un thermomètre laser.
Le test est réalisé avec une bandelette de lecture.
Les opérateurs ne sont jamais en contact direct avec le fluide.
Le flacon est vidé dans les toilettes, puis jeté par le marin.
Aucun accident n’a été signalé, la procédure est très protocolaire.</t>
  </si>
  <si>
    <t>- Lavage des mains régulier pour se décontaminer et éviter de contaminer les autres ou utilisation de produit hydroalcoolique désinfectant .
- En général pas de contact des mains souillées avec ses yeux, son nez, sa bouche,
- port de gants jetables, masques chirurgicaux selon les besoins</t>
  </si>
  <si>
    <t>* Remontées des besoins en équipements et protections spécifiques
* Proposer les vaccins contre la grippe / Covid</t>
  </si>
  <si>
    <t>- Respect du code de la route, prise en compte des recommandations de la prévention routière sur les temps de repos,
- vérification visuelle du véhicule avant chaque déplacement,
- préparation des déplacements,
- suivi et entretien régulier des véhicules, contrôle technique,
- utilisation des outils de (télé)communications (internet, visioconférence) permettant d’éviter certains déplacements,
- trajets sur autoroutes privilégiés (cartes de télépéages généralisées),
- respect de la charte sur l’utilisation des véhicules de service (disponible sur l’intranet, ,http://intra.dram-mediterranee.i2/la-charte-de-bonne-conduite-pour-l-utilisation-d-a1193.html),
- covoiturage,
- conduite des véhicules équipés de boite auto, régulateur de vitesse appréciés.
- en cas de panne, accident, crevaison, panne/erreur de carburant, vol/vandalisme, perte de clés/carte démarrage contacter le n° d’assistance inscrit dans les pochettes véhicules.
- En cas de panne ou d’accident : port du gilet fluorescent, triangle de signalisation, maintien à distance de la chaussée dans l’attente de l’assistance.</t>
  </si>
  <si>
    <t>- Généralisation des mesures existantes.
- Meilleure préparation des déplacements,
- priorité aux transports en commun,
- signalement des anomalies sur les véhicules par tout moyen (mail, carnet de maintenance),
- établir et/ou diffuser un plan de circulation/stationnement par site,
- équiper les véhicules de lingettes nettoyantes vitres (visibilité, buée).
- Sur les sites détachés, désignation d'un référents pour le suivi des véhicules en lien avec la hiérarchie/le SG,
- PPRR à finaliser, sensibilisation aux risques routiers, stages.</t>
  </si>
  <si>
    <t>-Ergonomie des postes de travail (store aux fenêtres, positionnement des écrans), remplacement et adaptation du matériel de bureau afin d’améliorer l’ergonomie (plan de travail ,fauteuil, écrans, portes-documents, repose-pieds..).
- Pauses régulières, alternance des tâches.</t>
  </si>
  <si>
    <t>- Étude de l’ergonomie du poste de travail en fonction des remontées de besoins, consultation des nombreux guides conseils en ligne(contacter le CP).
- Prise de pause en cas de travail en continu.</t>
  </si>
  <si>
    <t>Tous les services de santé des gens de mer sont hébergés sur plusieurs sites.
Pour ce risque veuillez vous reporter au(x) site(s) hébergeur(s) dans l’unité « 8.GESTIONNAIRE SITE » pour visionner les mesures (existantes ou à proposer) qui concernent votre service.</t>
  </si>
  <si>
    <t xml:space="preserve">Fournir des équipements de mesure pour les sites en Corse et dans le 06. </t>
  </si>
  <si>
    <t>Peu de prise en compte de ce risque : réalisation d’inspections communes au préalable (aide du document RSICP), de plan de prévention, information, affichages et signalisation de travaux._x000D_</t>
  </si>
  <si>
    <t xml:space="preserve">  * Possibilité de s'orienter vers le médecin de prévention et / où vers le pôle de prévention en lien avec le service informatique pour une demande d'adaptation des postes de travail et  fourniture de matériels informatiques et bureautiques (écran, souris, repose pieds...).
 - Accès à distance aux applicatifs, aux ressources et aux données disponibles habituellement sur site, dans le respect du droit à la déconnexion,
- signal d'indication hors horaire dans la messagerie mélanie2.
- Assistance à distance pour l’usage des outils informatiques et de communication.
 - Brochure d'information accessible sur l'intranet concernant les risques du télétravail
- GT RPS</t>
  </si>
  <si>
    <t>* Repérer les écarts dans la maîtrise des outils numériques au sein des équipes et former ceux qui en ont besoin.
- Organiser régulièrement des réunions d’équipe au complet, dans la mesure du possible en présentiel.</t>
  </si>
  <si>
    <t>Navires et locaux inspectés au titre du réglement sanitaire international</t>
  </si>
  <si>
    <t>Traumatisme léger à grave, écrasement.</t>
  </si>
  <si>
    <t>- Protections individuelles (casque, gants, chaussures de sécurité à semelles anti_x0002_dérapantes).
- Visite guidée par un membre de l’équipage.
- Lampes portatives à disposition._x000D_</t>
  </si>
  <si>
    <t xml:space="preserve">* Compléter la dotation en lampes portatives.
* Faire la commande en EPI et le suivre via tableau </t>
  </si>
  <si>
    <t>- Lavage des mains pour se décontaminer et éviter de contaminer les autres.
- Consommation eau de fontaine filtrée ou minérale+respect des règles d’hygiène alimentaire (nettoyage des surfaces utilisées après repas/café).
- Établissements et locaux tenus dans un état d'hygiène et de salubrité nécessaires à la santé du personnel.</t>
  </si>
  <si>
    <t>- Les gels hydro-alcooliques ne remplacent pas l’eau et le savon, ils sont efficaces sur des mains non souillées.
- Assurer le nettoyage des surfaces utilisées après repas/café (réfrigirateurs, tables, cafetières..), fournir le nécessaire.
- En période d'épidémie (grippe, Covid..), mise en application des consignes principales (hygiène des mains, mesures barrières, distanciation physique,…).</t>
  </si>
  <si>
    <t>- Polyvalence, mobilité, recours à la réserve militaire, à des vacataires et des internes.
- Mise en œuvre d’un plan d’évaluation et de prévention des RPS dans le cadre du plan national d’action, plan d’actions en cours.
- Suivi médical du MDP et permanence ASS, groupe de coordination médico-social._x000D_</t>
  </si>
  <si>
    <t xml:space="preserve">Suivi du plan d’actions RPS :
- remontées systématiques d’incidents,
- formation gestion des situations difficiles, tensions conflits (gérer, désamorcer et prévenir l’agressivité dans l’accueil d’un public difficile),
- formation gestion des mails à proposer.
</t>
  </si>
  <si>
    <t>Affections diverses en fonction des substances chimiques.</t>
  </si>
  <si>
    <t>- Respect des procédures de la zone portuaire et du bord.
- Pas de déplacements seul à bord (visites toujours accompagnées d’un membre de l’équipage)._x000D_</t>
  </si>
  <si>
    <t>Respect des consignes de sécurité du bord.</t>
  </si>
  <si>
    <t>Prise des consignes lors des visites (accueil des sites à risques).</t>
  </si>
  <si>
    <t>Choc, traumatisme, décès.</t>
  </si>
  <si>
    <t xml:space="preserve">- Protections individuelles (casque, chasubles, chaussures de sécurité), respect des consignes liées au déplacement (voie de circulation,signalétique).
- Suivi de l’état des EPI, la personne référente désignée est le CSP. </t>
  </si>
  <si>
    <t>- Inventaire des besoins en veste haute visibilité et autres.
- Vigilance particulière (ne pas rester sous la charge, ou dans la zone de manutention).</t>
  </si>
  <si>
    <t>- Privilégier les accès les plus sûrs (demander si nécessaire).
- Pas d’embarquement seul et sans se faire connaître.</t>
  </si>
  <si>
    <t>- Port systématique du VFI à flottabilité additionnelle (150 N) dès lorsqu’il y a une risque de chute à la mer.</t>
  </si>
  <si>
    <t>- Port de vêtements à haute visibilité (chasubles fluorescents,..).
- Respect des règles particulières de circulation à bord (cheminements piétons dans les ponts garage particulièrement) et en zone portuaire.</t>
  </si>
  <si>
    <t>Rappel des consignes/mesures existantes avant les visites RSI.</t>
  </si>
  <si>
    <t>Lors des visites RSI : les locaux de vie sont principalement inspectés sur une durée de 3h maxi, les DTA et autres éléments sont demandés.</t>
  </si>
  <si>
    <t>Consigne à diffuser : Lors d’une visite sanitaire RSI demander le dossier technique amiante existant.</t>
  </si>
  <si>
    <t>- Respect des consignes de sécurité du bord.
- réduction à une liste très restreinte (1 à 2 fois/an)._x000D_</t>
  </si>
  <si>
    <t>- Sensibilisation, formation aux consignes de sécurité spécifiques des terminaux à risque. 
- Consultation du plan de surveillance et d’intervention dépôts pétroliers de Fos.</t>
  </si>
  <si>
    <t xml:space="preserve">Pour les visites RSI :Lampe portable (frontale à privilégier avec piles de remplacement, indispensable dans la dotation) et projecteurs d’appoint.
- Lampes de bureaux d’appoint individuelles, stores aux fenêtres, relamping et réglage des luminaires direct/indirect sur pied de Zattara.
- Etude et recommandations formulées par le CP sur le type d’éclairage optimal (y compris D.E.L&gt;UGR).
</t>
  </si>
  <si>
    <t>- Entretien régulier des systèmes d’éclairage des locaux/bureaux.
- Etude avant remplacement par DEL (contacter le CP si besoin).</t>
  </si>
  <si>
    <t>- Entretien régulier des installations de traitement de l’air.
- Aération régulière les locaux.
-Respect des amplitudes de réglage,
- Zattara un thermomètre indicatif a été distribué à chaque occupant de bureau.</t>
  </si>
  <si>
    <t>Vigilance sur le réglage de la climatisation: Il est fortement déconseillé de dépasser les 8°C d'écart entre l'intérieur et l'extérieur (ex pour 30°C à l’extérieur il serait raisonnable de se contenter de 22°C minimum à l'intérieur)._x000D_</t>
  </si>
  <si>
    <t>Lésions diverses</t>
  </si>
  <si>
    <t>- Port des protections individuelles (casque, gants), 
- Pas de déplacements seul à bord (visites toujours accompagnées d’un membre de l’équipage).</t>
  </si>
  <si>
    <t>- Interventions sur photocopieurs (bourrages papier, changement de toner),
- renverser accidentellement un liquide brûlant (boissons chaudes, bouilloires électriques).</t>
  </si>
  <si>
    <t>Brûlures légères</t>
  </si>
  <si>
    <t>- Signalétique et indications des surfaces chaudes inscrites sur le photocopieur.
- Rangement des surfaces bureautiques et des coins repas (prolongateurs, multiprises, cafetières, bouilloires électriques…).</t>
  </si>
  <si>
    <t>Lombalgies, écrasement, tendinites, etc...</t>
  </si>
  <si>
    <t>- Etude du conditionnement : fractionnement des charges,
- Outils d'aide à la manutention sur certains sites, Zattara :
=&gt; Acquisition d’un chariot de manutention adapté pour franchir les escaliers (trois roues).
=&gt; Acquisition d’un rail de plan incliné pour les trois marches du RDC.</t>
  </si>
  <si>
    <t>- Fractionnement des charges.
- Remontée des besoins en équipement d’aide à la manutention (diable, chariot) à faire remonter.</t>
  </si>
  <si>
    <t>Port des (PICB) protections individuelles contre le bruit adaptés (casques antibruit x4, bouchons d’oreille)._x000D_</t>
  </si>
  <si>
    <t>Remontée des besoins en protections individuelles contre le bruit (casques, bouchons, moulées..) adaptées au seuil d’exposition.</t>
  </si>
  <si>
    <t>* Interdiction de fumer et de vapoter affichée dans certains locaux et lieux de travail.
- Rappel des textes réglementaires.
- Note interne n°270 du 14/03/14 diffusée aux services « politique de la DIRM MED en matière de prévention des risques liés à la consommation d’alcool » .</t>
  </si>
  <si>
    <t>* Politique de prévention à mettre en place (charte addictions).
- Affichage obligatoire de l’interdiction de fumer et de vapoter dans tous lieux fermés et couverts qui accueillent du public ou qui constituent des lieux de travail (modèle de signalisation fourni sur demande au CP).</t>
  </si>
  <si>
    <t>Exposition à des agents infectieux (bactéries, virus, champignons,parasites) ou allergènes (pollens, insectes..), transmis par contact avec l’environnement, les gens, les animaux, les insectes, la végétation (exemple lors de contact avec des personnes contaminées, des insectes, moisissures, animaux morts, des éléments souillés : poignée de porte, détritus divers, matières fécales).</t>
  </si>
  <si>
    <t>Leptospirose contractée en général lors d’une activité en relation avec un environnement contaminé : eaux , animaux porteurs, déjections de rongeurs, lieux humides.</t>
  </si>
  <si>
    <t xml:space="preserve">Lors d’inhalation d’aérosols émis par  la vapeur d’eau chaude sanitaire  contaminée par des légionelles au  points d’usages. </t>
  </si>
  <si>
    <t>Risque de chute de hauteur</t>
  </si>
  <si>
    <t>* Vérification régulière si pas de contre indications médicale (état psychosocial) pour les agents en situation isolé.
Suivi du plan d’actions RPS :
- remontées systématiques d’incidents,
- formation gestion des mails à proposer.</t>
  </si>
  <si>
    <t xml:space="preserve"> * Diffusion des documents et sensibilisation par les affichages obligatoires,
 - Accès aux brochures contenant les informations relatives aux risques sur l'intranet lien: http://intra.dram-mediterranee.i2/les-risques-psychosociaux-r829.html
 - Sensibilisation et formation des managers à la gestion des conflits et à la lutte contre le sexisme au travail.
* Suivi du plan d’actions RPS </t>
  </si>
  <si>
    <t xml:space="preserve">Suivi du plan d’actions RPS </t>
  </si>
  <si>
    <t xml:space="preserve">* Mise en place de panneaux anti-bruit (communication avec requérants).
- Réflexion à conduire sur la réalisation d’une procédure d’orientation en vue d’une prise en charge psychologique en fonction des nécessités.
- Généralisation de la formation gestion du stress pour les CMS.
- Démarche d’évaluation et de prévention des risques psychosociaux, plan d’action en cours .
</t>
  </si>
  <si>
    <t>Risque lié au travail sur écran et télétravail</t>
  </si>
  <si>
    <t>Situation dangereuse : Travail prolongé sur écran, utilisation d'un poste de travail non ergonomique (au bureau ou en télétravail), absence de pauses, sédentarité, difficultés techniques, isolement professionnel, organisation du travail inadaptée ou porosité entre vie professionnelle et vie personnelle.</t>
  </si>
  <si>
    <t>Risque lié aux interventions en présence de migrants</t>
  </si>
  <si>
    <t>3. POLMAR</t>
  </si>
  <si>
    <t>Centres POLMAR</t>
  </si>
  <si>
    <t>Centres de Port de Bouc et de Sète (fermeture prévue)</t>
  </si>
  <si>
    <t>1. SERVICES ADMINISTRATIFS</t>
  </si>
  <si>
    <t>TOUS SERVICES DIRM administratifs-bureaux</t>
  </si>
  <si>
    <t>TOUS SITES administratifs DIRM (hébergés y compris)</t>
  </si>
  <si>
    <t>- Lors d’intervention en hauteur (chute accidentelle d’outils et/ou de matériel sur toute personne située au dessous).
- Lors de manutention de matériel et de matériaux, entreposage inapproprié en hauteur de matériel en entrepôts, atelier et bureaux.
- Lors de transport de matériel non fixé à l'arrière des véhicules (voir R.38)</t>
  </si>
  <si>
    <t>Projection de cailloux ou d’objets divers lors de atterrissage et décollage d’un hélicoptère à proximité de la drop zone._x000D_</t>
  </si>
  <si>
    <t>Proximité des opérations de manutention portuaire lors de la visite d’un navire :
- chute de twist-locks, barres ou raidisseurs sur pont,
- chute de charge lourde sous grue (navires, chantiers)._x000D_</t>
  </si>
  <si>
    <t>Responsables des services</t>
  </si>
  <si>
    <t>- CACES à jour, respect des charges maximales utiles,
- sanglage, arrimage du matériel et des charges pendant le transport.
- rangement des entrepôts, ateliers (rayonnage adaptés à la charge) et bureaux, 
- port des EPI (gants, casques, chaussures de sécurité).
- rack de stockage réorganisés (centre de Port de Bouc)._x000D_</t>
  </si>
  <si>
    <t>Organisation permanente, consignes d’archivage.</t>
  </si>
  <si>
    <t>- Protections individuelles (casque obligatoire, gants, chaussures de sécurité).
- Sensibilisation sur ce type d’accident : ne pas rester dans la zone de manutention.</t>
  </si>
  <si>
    <t>- Reflexion à Sète sur l'implantation du stockage des barrages (car il faut sortir ce qui est devant pour accéder à ceux de derrière).
- Mise à jour et suivi des formations CACES adaptées, des autorisations de conduite en fonction des moyens de manutentions utilisés.
- Indication/affichage du poids sur les charges à lever.</t>
  </si>
  <si>
    <t>- Tri periodique des archives, anticipation et optimisation des espaces de rangement.
- Ajout de sur-armoire de bureau pour un gain de rangement ou classement.</t>
  </si>
  <si>
    <t>P3</t>
  </si>
  <si>
    <t>P2</t>
  </si>
  <si>
    <t>Analyse typologique des sites (ESM) : voir le travail réalisé à Cannes afin de le généraliser.
Pose de caillebotis antidérapants (résine, fibre de verre) : opérationnel sur certains ESM.
Généralisation des chaussures à semelles antidérapantes à étudier : dans certains COB, les agents achètent eux-mêmes des chaussures de randonnée mieux adaptées à l’accès à certains ESM, mais qui ne sont pas des chaussures de chantier.
Se renseigner sur les dispositifs antichute à rappel automatique.
Vérifier que les lignes de vie sont correctement contrôlées.
Possible utilisation de nettoyeur à haute pression compact sur batterie avec réserve d’eau intégré pour le nettoyage des surfaces.</t>
  </si>
  <si>
    <t>Définition explicite des tâches assignées afin d’éviter toute ambiguïté, tout dépassement et de favoriser une meilleure prise de conscience de la problématique.
Poursuite de la recherche de dispositifs techniques d’alarme.
Actualisation des mesures relatives au travailleur isolé (2016).
Equiper de DAE les sites isolés.
Révision note astreinte SPB</t>
  </si>
  <si>
    <t>Analyse typologique des sites (ESM) : évaluation des conditions d’accès pour chaque ESM.
Pose de caillebotis antidérapants (résine, fibre de verre).
Généralisation des chaussures à semelles antidérapantes à étudier et à uniformiser.
Évaluation de la compatibilité entre le harnais antichute et le VFI suivant les conditions d’accès au site.
Formations périodiques proposées : comportement à adopter en cas de chute à l’eau.
Possible utilisation de nettoyeur à haute pression compact sur batterie avec réserve d’eau intégré pour le nettoyage des surfaces.</t>
  </si>
  <si>
    <t xml:space="preserve">  - Possibilité de s'orienter vers le médecin de prévention et / où vers le pôle de prévention en lien avec le service informatique pour une demande d'adaptation des postes de travail et  fourniture de matériels informatiques et bureautiques (écran, souris, repose pieds...).
 - Accès à distance aux applicatifs, aux ressources et aux données disponibles habituellement sur site, dans le respect du droit à la déconnexion,
- signal d'indication hors horaire dans la messagerie mélanie2.
- Assistance à distance pour l’usage des outils informatiques et de communication.
 - Précautions à prendre communiquées en matière de sécurité des données.
 - Brochure d'information accessible sur l'intranet concernant les risques du télétravail, le lien: http://intra.dirm-mediterranee.e2.rie.gouv.fr/IMG/pdf/teletravail_dirmmed1_cle79ff51.pdf
 - Installation (dans la mesure du possible) dans un espace de travail dédié (ou mieux dans une pièce isolée) afin de ne pas être dérangé, aménagement de poste de travail pour travailler dans de bonnes conditions et de façon à limiter les risques de troubles musculosquelettiques.
 - Pauses régulières afin de permettre des phases de repos visuel, de bouger, et ainsi d'éviter de maintenir la posture assise trop longtemps (pauses de cinq minutes toutes les heures par exemple).
EPI (lunettes anti lumière bleue)</t>
  </si>
  <si>
    <t>Poursuivre la recherche de matériels de protection adaptés et ergonomiques en fonction des types de soudure réalisés sur l’ensemble des sites.
Mieux identifier les dispositifs de ventilation et d’aspiration (protections collectives) sur l’ensemble des COB.
Assurer le nettoyage régulier des ateliers de chaudronnerie par aspiration afin d’éviter la remise en suspension des poussières dans l’atmosphère ; formaliser une procédure.
Identifier clairement les locaux à pollution spécifique et en limiter l’accès.
Possible utilisation de torches aspirantes</t>
  </si>
  <si>
    <t>* Systématisation des inspections et analyses communes préalables à chaque intervention,  pouvant conduire suivant la nature des travaux,  à la rédaction d’un plan de prévention ( y compris attestation de consignation, protocole  de sécurité, permis de feu, etc...).
- Intégration de cette procédure dans les appels d’offres.
- Avenant à la convention APB / DIRM,  définition de protocoles d’intervention.
- Plan de prévention normalisé pour le SPB</t>
  </si>
  <si>
    <t>🔹 Prévention incendie – installations et locaux
Renforcer les contrôles périodiques des moyens de lutte incendie, diffuser les consignes et harmoniser la signalétique.
Maintenir libres les dégagements (couloirs, issues), éviter le stockage gênant.
Former le personnel à l’utilisation des extincteurs et aux procédures d’évacuation.
🔹 Batteries stationnaires et risques associés
Analyser les installations de batteries pour définir les besoins de formation (obligatoire si &gt; 60 V ou &gt; 275 Ah).
Appliquer les exigences NFC 18-505-2-3 pour les connexions/déconnexions hors charge.
Respecter les règles de transport (pôles protégés) et installer des sectionneurs pour couper la charge.
🔹 Installations électriques
Généraliser les vérifications périodiques des installations électriques (inclure ESM).
Assurer la mise en conformité et actualiser la fiche sécurité DUERP.
formation sur l’utilisation des extincteurs à rendre systématique</t>
  </si>
  <si>
    <t>Tous les services administratifs sont hébergés sur plusieurs sites.
Pour ce risque veuillez vous reporter au(x) site(s) hébergeur(s) dans l’unité « 8.GESTIONNAIRE SITE » pour visionner les mesures (existantes ou à proposer) qui concernent votre service.</t>
  </si>
  <si>
    <t>.GESTIONNAIRE SITE</t>
  </si>
  <si>
    <t>SERVICE(S) DIRM hébergé(s)</t>
  </si>
  <si>
    <t>Ajaccio-(annexe COB)-Délég.DIRM Corse/SEF/Aff.éco/CSN hébergés</t>
  </si>
  <si>
    <t>Gestionnaire site et responsables des services</t>
  </si>
  <si>
    <t>Ajaccio-Site DDTM2A-SSGM hébergé</t>
  </si>
  <si>
    <t>Gestionnaire site et responsable du service</t>
  </si>
  <si>
    <t>1. Une demande de copie du Dossier Technique Amiante à jour du bâtiment doit être faite auprès du propriétaire/gestionnaire où le personnel est hébergé.
2. Communication du DTA du site à tout prestataire/intervenant (prévu par le plan de prévention en cas de co-activité),
3. En cas de présence avérée d’amiante, des consignes sont à communiquer au personnel : Les interventions et/ou retraits de produits ou matériaux contenants de l’amiante (friable et non friable) sont non autorisés en régie (code du travail SS3 et SS4).
4. En cas de présence avérée d’amiante : Identifier (par une signalétique à poser) les MCA afin d’éviter toute intervention par inadvertance
5. Réaliser un repérage avant travaux (obligatoire cf.arrêté du 16 juillet 2019) afin de rechercher la présence d’amiante dans le bâti, préalablement à toute opération comportant des risques d’exposition des travailleurs.
NB :Le repérage des matériaux et produits pouvant contenir de l’amiante est obligatoire pour les bâtiments dont le permis de construire a été délivré avant le 1er juillet 1997, afin d’évaluer leur état de conservation et d’estimer si des fibres sont susceptibles ou non d’être libérées dans l’air ambiant).</t>
  </si>
  <si>
    <t>Aucuns éléments de diagnostics relatifs à l’absence ou la présence d’amiante (Dossier Technique Amiante, repérages..) dans le bâti communiqué au CP à ce jour.</t>
  </si>
  <si>
    <t>Aspretto-Site B.A.N-Sous-CROSS hébergé</t>
  </si>
  <si>
    <t>Bastia-Site DDTM 2B-CSN/SEF/SSGM hébergés</t>
  </si>
  <si>
    <t>Mrs-Site DDTM13-SERVICES DIRM hébergés (Dir./SG/MICO/Dir.SPB/SRC/SEF/SSGM/CSN Paca Corse)</t>
  </si>
  <si>
    <t>Nice-Site DDTM 06-SEF/SSGM hébergés</t>
  </si>
  <si>
    <t>Port la Nouvelle-Site La prud'homie-SSGM hébergé</t>
  </si>
  <si>
    <t>Port la nouvelle-Site S.A.M-Ant. CSN Occitanie hébergé</t>
  </si>
  <si>
    <t>1. Réalisation de repérages des MPCA puis constitution du dossier techniques amiante (DTA = synthèse des diagnostics et actions) du site.
2. Communication des éléments au CP (voir document attaché) pour actualiser le tableau de synthèse mis en ligne sur l’intranet (dont le but est de : faciliter la consultation de l’historique par site et permettre l’identification des matériaux/produits contenants de l’amiante et donc éviter toute intervention malencontreuse dessus ou à proximité).
3. Présence d’amiante identifiée par une signalétique sur les MCA afin d’éviter toute intervention par inadvertance d’un tiers.
NB : L’évaluation de l’état de dégradation par un opérateur certifié des matériaux/produits amiantés identifiés est recommandée tous les 36 mois.</t>
  </si>
  <si>
    <t>1. Une demande de copie du Dossier Technique Amiante à jour du bâtiment doit être faite auprès du propriétaire/gestionnaire où le personnel est hébergé.
2. Le propriétaire assure la mise en œuvre et le suivi des recommandations du diagnostiqueur (exemple : surveillance de l’état de dégradation des MCA détectés, recherche de la cause de la dégradation, mesures correctives...).
3. Contrôle périodique d’évaluation de l’état de dégradation des matériaux/produits amiantés identifiés à réaliser (par un opérateur certifié recommandé tous les 36 mois),
4. Communication du DTA du site à tout prestataire/intervenant (prévu par le plan de prévention en cas de co-activité),
5. En cas de présence avérée d’amiante, des consignes sont à communiquer au personnel : Les interventions et/ou retraits de produits ou matériaux contenants de l’amiante (friable et non friable) sont non autorisés en régie (code du travail SS3 et SS4).
6. Identifier (par une signalétique à poser) les MCA afin d’éviter toute intervention par inadvertance (Cf. mesure existante),
7. Réaliser un repérage avant travaux (obligatoire cf.arrêté du 16 juillet 2019) afin de rechercher la présence d’amiante dans le bâti, préalablement à toute opération comportant des risques d’exposition des travailleurs.
8. Renseigner les derniers éléments dans la fiche sécurité du DUERP du site et les communiquer au CP.
9. Documents individuels de traçabilité amiante à renseigner pour les travailleurs potentiellement exposés.</t>
  </si>
  <si>
    <t>Sète-Site DDTM 34/DML-Aff.éco/SEF hébergés</t>
  </si>
  <si>
    <t>Sète-Site Lycée de la mer-SEF/SSGM hébergés</t>
  </si>
  <si>
    <t>Toulon-Site DDTM 83-SPB/CSN/SEF/SSGM hébergés</t>
  </si>
  <si>
    <t>Centre de Port de Bouc</t>
  </si>
  <si>
    <t>MAXIME SUROY</t>
  </si>
  <si>
    <t>Centre de Sète (avant fermeture du site)</t>
  </si>
  <si>
    <t>Jennifer LETELLIER</t>
  </si>
  <si>
    <t>1. Réalisation de repérages des MPCA puis constitution des dossiers techniques amiante (DTA = synthèse des diagnostics et actions) par site.
2. Retrait de plaques fibro-ciment déterriorées en octobre 2012.
3. Communication de repérages au CP (voir document attaché) pour actualiser le tableau de synthèse mis en ligne sur l’intranet (dont le but est de : faciliter la consultation de l’historique par site et permettre l’identification des matériaux/produits contenants de l’amiante et donc éviter toute intervention malencontreuse dessus ou à proximité).
4. Consigne reçue: Les interventions et/ou retraits de produits ou matériaux contenants de l’amiante (friable et non friable) sont non autorisés en régie (code du travail SS3 et SS4).
NB : L’évaluation de l’état de dégradation par un opérateur certifié des matériaux/produits amiantés identifiés est recommandée tous les 36 mois.</t>
  </si>
  <si>
    <t>- Protections collectives : Ventilation des locaux, container de stockage et de reçyclage de cartouches d’imprimantes présents sur certains sites, 
- Collecte et lecture des fiches données sécurité (FDS) des divers produits utilisés : respect des consignes (Port de EPI, utilisation, stockage...), signalisation et étiquetage.
- Lavage des mains après utilisation de produits afin d'éviter de contaminer des surfaces et de ce fait les autres.</t>
  </si>
  <si>
    <t>- Port des EPI conseillés dans les FDS, signalisation et étiquetage. Collecte et lecture  des fiches données sécurité (FDS) : respect des consignes et vérification des compatibilités de stockage, recherche de produits de substitution.
- Stockages réaliser dans un local dédié.
- Lavage des mains pour se décontaminer et éviter de contaminer les autres.</t>
  </si>
  <si>
    <t>*Ventilation des locaux + port des EPI conseillés dans les FDS.
- Lavage des mains pour se décontaminer et éviter de contaminer les autres.</t>
  </si>
  <si>
    <t>*Changement à prévoir de la fontaine à dégraissant à Port de Bouc.
- Sensibilisation et rappel : poursuite de l’analyse du risque et de la traçabilité des expositions (FPE mise à jour annuelle) .
- Pose de signalétique de rappel de port des EPI.</t>
  </si>
  <si>
    <t>*Analyses des installations de batteries stationnaires de chaque COB, retours attendus pour définir la nécessité de formations des intervenants : dès lors que la tension des batteries stationnaires est supérieure à 60 volts ou dont la capacité totale est supérieure à 275 Ah, la réglementation aux travaux sous tension NFC 18-505-2-3 (installation qui n'a pu être mise hors tension) s'applique.</t>
  </si>
  <si>
    <t>- Port des EPI conseillés après exploitation des FDS (effets sur la santé, stockage, EPI recommandés...), signalisation, identification et étiquetage.
- Utilisation en extérieur,
- Extracteur de gaz d ‘échappement présent à Sète.</t>
  </si>
  <si>
    <t xml:space="preserve">
- Poursuite de l’analyse du risque : exploitation des FDS (effets sur la santé, stockage, EPI recommandés...) document de synthèse à instaurer et recherche de produits de
substitution .
- Traçabilité des expositions : intégration des données collectées sur les FDS de chaque produit utilisé dans la fiche individuelle de prévention des expositions à certains facteurs de risques (mise à jour annuelle).
- Mise aux normes des locaux de peinture et de stockage, réalisation des peintures en extérieur à généraliser</t>
  </si>
  <si>
    <t>- Extracteurs à Sète et à Port de Bouc (rejet vers l’extérieur sur ce site).
- Suivi des recommandations fabricants (manuel de sécurité) postes à souder, meuleuse.. et port des EPI indiqués</t>
  </si>
  <si>
    <t>- Prise en compte et adaptation des dispositifs de ventilation et d’aspiration (protections collectives)sur l’ensemble des sites.
- Nettoyage régulier par aspirateur du local (afin d’éviter la remise en suspend dans l’atmosphère des particules), ne pas souffler.
- Traçabilité individuelle des expositions : intégration des données collectées sur les FDS de chaque produit utilisé dans la fiche individuelle de prévention des expositions à certains facteurs de risques (mise à jour annuelle).</t>
  </si>
  <si>
    <t>- Signalétique et indications des surfaces chaudes inscrites sur le photocopieur,
- Rangement des surfaces bureautiques et des coins repas (prolongateurs, multiprises, cafetières, bouilloires électriques…).</t>
  </si>
  <si>
    <t>- Renouvellement des EPI, et vêtements de protection pour soudures, tailles adaptées.
- Pose et maintien de carters de protection et pictogrammes.</t>
  </si>
  <si>
    <t>CELLULE INFORMATIQUE-MOYENS GENERAUX</t>
  </si>
  <si>
    <t>CELLULE INFORMATIQUE-MOYENS GENERAUX TOUS SITES DU SECTEUR D'INTERVENTION</t>
  </si>
  <si>
    <t>ALEXANDRE BINDL</t>
  </si>
  <si>
    <t>* Conformité du matériel électrique mis en place dans les locaux techniques.
- Maintient des locaux techniques en position fermée.
- Interventions de l’opérateur limitées à son niveau d’habilitation (hors tension, hors voisinage des éléments sous tension).</t>
  </si>
  <si>
    <t>Habilitation électrique (ex: manoeuvre, essais, interventions élémentaires) et recyclages du personnel identifié.</t>
  </si>
  <si>
    <t>* Maintien en état de conformité des installations électriques.
- Interventions de l’opérateur limitées à son niveau d’habilitation (hors tension, hors voisinage des éléments sous tension).</t>
  </si>
  <si>
    <t>* Vérification visuelle de l’état du matériel électrique (ex :prolongateurs) avant usage (par tout agent), signalement de l’état du matériel endommagé à la hiérarchie et remplacement.
- Acquisition de matériel conforme à la norme en vigueur, respect de la puissance maximale indiquée sur les prolongateurs et multiprises.
- Maintiens des portes des tableaux et coffrets électriques en position fermée</t>
  </si>
  <si>
    <t>*Vérifier le suivi périodique réglementaire des installations électriques auprès du gestionnaire du site (pas de retour à ce jour*) et renseigner la fiche sécurité DUERP du site (mise à jour annuelle demandée).
- Les levées d’observations doivent être assurées afin de rétablir la conformité électrique des installations dans tous les locaux de travail (y compris sur les sites où les agents des services DIRM sont hébergés).
- Utilisation du matériel électrique conformément aux spécifications du fabricant.
*Ces informations réglementaires sont logiquement consultables dans le registre unique de sécurité du site.</t>
  </si>
  <si>
    <t>*Vérification visuelle de l’état du matériel électrique (ex :prolongateurs) avant usage (par tout agent), signalement de l’état du matériel endommagé à la hiérarchie et remplacement.
- Acquisition de matériel conforme à la norme en vigueur, respect de la puissance maximale indiquée sur les prolongateurs et multiprises.
- Maintiens des portes des tableaux et coffrets électriques en position fermée.</t>
  </si>
  <si>
    <t>* Vérification visuelle de l’état du matériel électrique (ex :prolongateurs) avant usage (par tout agent), signalement de l’état du matériel endommagé à la hiérarchie et remplacement.
- Acquisition de matériel conforme à la norme en vigueur, respect de la puissance maximale indiquée sur les prolongateurs et multiprises.
- Maintiens des portes des tableaux et coffrets électriques en position fermée.</t>
  </si>
  <si>
    <t>*Vérification périodique des installations électriques (pas de retour sur fiche DUERP du site).
- Vérification visuelle de l’état du matériel électrique (prolongateurs, électroportatif) avant usage, signalement de l’état du matériel endommagé à la hiérarchie et remplacement.
-Acquisition de matériel conforme à la norme en vigueur, respect de la puissance maximale indiquée sur les prolongateurs et multiprises.
-Maintient des portes des tableaux et coffrets en position fermée.
- En cas de besoin d’intervention demande au COB/SPB de rattachement.</t>
  </si>
  <si>
    <t>* Privilégier l’achat de matériel classe II notamment lors de l’utilisation de groupes électrogènes portatifs.
- Suivi périodique de la conformité des installations électriques (à renseigner dans la fiche sécurité du DUERP par site), levées de réserves à assurer pour rétablir la conformité.
- Utilisation du matériel conformément aux spécifications du fabricant.</t>
  </si>
  <si>
    <t>* Certains agents sont habilités aux travaux élémentaires.
- En cas de besoin d’intervention, demande au COB/SPB de rattachement.</t>
  </si>
  <si>
    <t>- Compléter la démarche d’habilitation du personnel restant, à la NFC 18-510 recyclage tous les 3 ans (respect procédures de mise en sécurité: consignation).
- Fourniture des EPI et matériel spécifique (VAT, gants isolés, écran facial).
- Désignation du personnel.
- Qualification des nouveaux arrivants, compagnonnage. 
- Signalisation du risque.
- Etude en cours de la réglementation travaux sous tension (NFC 18-505-2-3), attentes de retours d'analyses des installations de batteries.</t>
  </si>
  <si>
    <t>Exploitation FDS (stockage à rayonnage, vérification des incompatibilités, bac de rétention ) sur sites de Sète.</t>
  </si>
  <si>
    <t>- Poursuite de l’exploitation des FDS.
Centre Port de Bouc :
- Vérification des incompatibilités de stockage.
- Bac de rétentions.
- Vérification des locaux de stockage pour mises aux normes si nécessaire._x000D_</t>
  </si>
  <si>
    <t>Tous types de dommages dû à la nature de l'explosion</t>
  </si>
  <si>
    <t>Collecte et diffusion des consignes de sécurité spécifiques aux sites et établissements industriels à risques situés à proximité (voir risques de force majeure/technologiques/industriels, consulter DICRIM de la commune)</t>
  </si>
  <si>
    <t>Maintient en état de conformité du matériel de soudage :
- Vérification régulière du matériel (vannes, tuyaux, chariot..),
- Fermeture des robinets après utilisation,
- maintien des bouteilles en position verticale,
- respect des bonnes pratiques (règles de stockage et de transport, interdictions de fumer..).</t>
  </si>
  <si>
    <t xml:space="preserve">- Ventilation haute et basse des véhicules utilisés pour le transport des bouteilles de gaz, système d’arrimage.
- Respect des instructions impératives de sécurité pour les travaux par points chaud.
- Vérification des installations de chauffage au gaz.
</t>
  </si>
  <si>
    <t>Batterie : 
- Maintient des protections des pôles (caches bornes y compris lors du transport), vérification des branchements avant connexion (hors charge),
- ne pas porter d’éléments conducteurs (bracelet, montre, bague..)
- laisser reposer après la charge avant transport,
- charge dans un local suffisamment ventilé (voir norme)</t>
  </si>
  <si>
    <t>Aucune :
- Vérifier si les locaux de ce site sont dotés de plan d’évacuation, signalétique et de moyens de lutte contre les débuts d'incendies.
- Vérifier l’obligation des exercices d’évacuations périodiques du personnel (obligatoire en fonction de la catégorie des locaux)</t>
  </si>
  <si>
    <t>- Vérifier le suivi des contrôles périodiques réglementaires des moyens de lutte contre les débuts d'incendies auprès du gestionnaire du site (pas de retour à ce jour*) et renseigner la fiche sécurité DUERP du site (mise à jour annuelle demandée).
- S’assurer des exercices d'évacuation périodiques du personnel (obligatoire en fonction la catégorie des locaux), de la diffusion des consignes et de l’installation d’une signalétique appropriée.
- Éviter de stocker des emballages, du matériel ou autres dans les dégagements (couloirs, portes, issues…), respecter les largeurs d’unité de passage.
- Formation à l’utilisation des extincteurs et aux procédures d’évacuation (guide et serre fil) en fonction la catégorie des locaux.
*Ces informations réglementaires sont logiquement consultables dans le registre unique de sécurité du site.</t>
  </si>
  <si>
    <t>- Vérification périodique des dispositifs de lutte contre les débuts d’incendies dans les locaux (attente du dernier contrôle).
- Plan d’évacuation, signalétique et exercices d’évacuation périodiques réalisés sur ce site.
- En 2022 sensibilisation (CP/AP) des agents aux nouvelles consignes/procédure de sécurité et d’évacuation (guide et serre fil).</t>
  </si>
  <si>
    <t>Laisser les couloirs libres de tout meuble pouvant gêner l'évacuation.
Autres à proposer :
- Éviter de stocker des emballages, du matériel ou autres dans les dégagements (couloirs, portes, issues…), respecter les largeurs d’unité de passage.
- Vérifier le suivi des contrôles périodiques réglementaires des moyens de lutte contre les débuts d'incendies auprès du gestionnaire du site (pas de retour à ce jour*) et renseigner la fiche sécurité DUERP du site (mise à jour annuelle demandée).
- Les services doivent s’assurer de la diffusion des consignes/procédure de sécurité et d’évacuation aux nouveaux arrivants.
- Formation à l’utilisation des extincteurs et aux procédures d’évacuation (guide et serre fil) .
*Ces informations réglementaires sont logiquement consultables dans le registre unique de sécurité du site.</t>
  </si>
  <si>
    <t>*Vérification périodique des dispositifs de lutte contre les débuts d’incendies dans les locaux (attente du dernier contrôle, à renseigner dans la fiche DUERP).
*Plan d’évacuation et signalétique en place.
*Batteries : maintien des protections des pôles (caches bornes, y compris lors du transport), indice de protection adapté, vérification des branchements avant connexion (hors charge), absence de port d’objets conducteurs (bracelet, montre, bague…).
*Installations électriques : surveillance périodique de la conformité, respect des règles d’intervention et des règles d’utilisation du matériel (éviter surcharge et surchauffe).</t>
  </si>
  <si>
    <t>*Maintenir libres les dégagements (couloirs, portes, issues) et respecter les largeurs réglementaires.
*Poursuivre les contrôles périodiques des moyens de lutte contre les débuts d’incendie et actualiser la signalétique.
*Diffuser les consignes incendie et planifier la formation à l’usage des extincteurs et procédures d’évacuation (guide/serre-fil).
*Batteries : renforcer la protection isolante des pôles (caches bornes), vérifier les branchements avant connexion et assurer la conformité du matériel.
*Poursuivre l’étude de l’application de la réglementation travaux sous tension (NFC 18-505-2-3) en attendant le retour des analyses des installations de batteries.</t>
  </si>
  <si>
    <t>- Consignes au personnel, rédaction d'un permis feu (lors d'intervention d'entrepries exterieurs).
- Affichage des dispositions à prendre pour la sécurité des opérations (en dehors des postes permanents de travail du service).</t>
  </si>
  <si>
    <t>Lors de soudure à l’arc exposition des yeux et de la peau aux rayonnements optiques (ultraviolets, infrarouges).</t>
  </si>
  <si>
    <t xml:space="preserve">Lésions oculaires et affections de la peau. </t>
  </si>
  <si>
    <t>- Port des EPI adaptés : gants et masques de soudage (électro-optique) et vêtements.
- Utilisation d’écrans de soudure (protection collective mobile ).</t>
  </si>
  <si>
    <t>Recherche d’un collecteur approprié, prise en compte de l’enlèvement des produits périmés dans le choix des fournisseurs..</t>
  </si>
  <si>
    <t>Port des EPI, respect des consignes d'utilisation.</t>
  </si>
  <si>
    <t>Renouvellement et amélioration de l'outillage.</t>
  </si>
  <si>
    <t>Vérifier le suivi des contrôles périodiques (6 mois) réglementaires des installations (barrières, portes, portails automatiques..) et la maintenance des systèmes auprès du gestionnaire du site (pas de retour à ce jour*) et renseigner la fiche sécurité DUERP du site (mise à jour annuelle demandée).
*Ces informations réglementaires sont logiquement consultables dans le registre unique de sécurité du site.</t>
  </si>
  <si>
    <t>- Portail, volets roulants : suivi, entretien et vérification périodiques (attente dernier contrôle à renseigner dans la fiche sécurité DUERP).
- G-E : Consignation avant intervention, respect des procédures d’arrêt.</t>
  </si>
  <si>
    <t>- Assurer le suivi de la maintenance et des contrôles périodiques (à renseigner dans la fiche sécurité du DUERP).
- Suivi de l’habilitation électrique du personnel,
- affichage des consignes et signalétique du danger._x000D_</t>
  </si>
  <si>
    <t>Suivi, entretien, vérifications techniques réglementaires (périodicité), surveillance visuelle de l’état du matériel (flexible)._x000D_</t>
  </si>
  <si>
    <t>Faire le point sur les contrôles réglementaires (cuves compresseur tous les 10ans)</t>
  </si>
  <si>
    <t>- Acquisition de tables élévatrices mobile (ergonomie&gt;pas de levage de charge en hauteur, poste de travail adapté).
- Information, précautions prises après analyse des tâches,
- Après évaluation des besoins une partie du personnel a été équipé en 2017 de harnais de force type CORFOR (2 agents Port de Bouc) voir risque 17.</t>
  </si>
  <si>
    <t xml:space="preserve">- Mettre en place stage PRAP (Prévention des risques liés à l’activité physique), 
- adaptation à l’étude sur certains matériels (sangles sur le palonnier destiné au levage des barrages).
</t>
  </si>
  <si>
    <t>Consultations du potentiel radon par communes (ex catégorie 3 : communes du 83, 06, 2B et 2A) sur le site de l’IRSN ou l’arrêté du 27 juin 2018 portant délimitation des zones à potentiel radon du territoire français. 
Dépistage dans les zones « Le potentiel radon ainsi fourni ne présage en rien des concentrations présentes dans les bâtiments, celles-ci dépendant de multiples autres facteurs (étanchéité de l’interface entre le bâtiment et le sol, taux de renouvellement de l’air intérieur…). La cartographie ne peut donc en aucun cas se substituer à la réalisation de mesures. » 
Si des mesures de réduction de l’exposition à ce gaz sont conseillées quelle que soit la concentration constatée à l’issue du dépistage, il est particulièrement recommandé de mettre en place une des deux solutions suivantes à partir d’une concentration de radon supérieure à 300 Bq/m2 :
- supprimer la radon présent dans l’habitation en agissant sur le renouvellement de l’air intérieur,
- réduire le transfert de radon vers l’intérieur du bâtiment en renforçant son étanchéité vis-à-vis du sol.
=&gt;Le CP propose aux services de réaliser dans un premier temps des campagnes de dépistage, pour les sites des communes à potentiel radon élevé : dans les parties de bâtiments situées en sous_x0002_sol ou en rez-de-chaussée où le personnel séjourne sur des durées importantes.</t>
  </si>
  <si>
    <t>- Usage du chariot élévateur, du tire palette, du tripode de levage (chèvre) et du chariot de levage (diable), fractionnement des charges.
- Acquisition de tables élévatrices mobile (ergonomie&gt;pas de levage de charge en hauteur, poste de travail adapté).
- Après évaluation des besoins une partie du personnel a été équipé en 2017 de harnais de force type CORFOR (2 agents Port de Bouc)._x000D_</t>
  </si>
  <si>
    <t>Douleurs dorso-lombaire, tendinites, écrasement.</t>
  </si>
  <si>
    <t>- Fractionnement des charges.
- Utilisation d'outils d’aide à la manutention (diable, chariot), diable de transport à 3 roues adapté au franchissement des marches.</t>
  </si>
  <si>
    <t>- Intégration dans les marchés de la livraison des commandes jusqu'au lieu de stockage.
- Intervention en binome.</t>
  </si>
  <si>
    <t>Tous services : archivage de dossiers, réception de livraisons diverses (consommables, mobilier bureatique...).</t>
  </si>
  <si>
    <t>- Fractionnement des charges.
- Sur certains sites utilisation d'outils d’aide à la manutention (diable, chariot), diable de transport à 3 roues adapté au franchissement des marches.</t>
  </si>
  <si>
    <t>- Intégration dans les marchés de la livraison des commandes jusqu'au lieu de stockage.
- Etude du conditionnement : fractionnement des charges,
- Besoins en outils d’aide à la manutention à faire remonter.</t>
  </si>
  <si>
    <t>- Formation (CACES), autorisation de conduite délivrées aux titulaires (examen aptitude médicale, instructions à respecter..),
- Formation élingage,
- Port d’EPI (gants, casques..), manutention avec moyens adaptés, respect des consignes (sécurité, élingage..), maîtrise et choix du chariot(commandes, capacité..).
- Vérifications périodiques des appareils de levages, de leur apparaux et accessoires.
- Rack de stockage réorganisés (P de Bouc).</t>
  </si>
  <si>
    <t>- Suivi régulier du personnel à former et aux nouveaux arrivants.
- Suivi des vérifications périodiques (à renseigner dans la fiche sécurité du DUERP par site).
- Port systématique de vêtements à haute visibilité sur les zones de manutention.
- Les instructions spécifiques doivent être données ou affichées (organiser la formation pratiques à ces spécificités si besoin).
- Renseignement et notification du poids sur les charges à manutentionner (système non effaçable).</t>
  </si>
  <si>
    <t>- Maintient des carters et protections des organes en mouvement,
- port des EPI indiqués dans les manuels fabricants, respect des consignes de sécurité.
- Port d’équipements de protection individuel oculaires à correction adaptée.</t>
  </si>
  <si>
    <t>Mauvaise utilisation de broyeuse à papier</t>
  </si>
  <si>
    <t>Coupures, écrasements.</t>
  </si>
  <si>
    <t>Prise en compte des recommandations du fabricant (aux porteurs : de cravate, cheveux et vêtements longs, colliers…)</t>
  </si>
  <si>
    <t>Vérification et pose des signalétiques sur ces équipements, signalement rapide des défectuosités.</t>
  </si>
  <si>
    <t>Intoxication due au manque d’oxygène dans l’air respirable.</t>
  </si>
  <si>
    <t>- Aération des locaux, entretien extérieur dans la mesure du possible.
- Vérification visuelle des robinets, des flexibles et détendeurs sur les bouteilles de gaz utilisées.</t>
  </si>
  <si>
    <t>Étude d’un système d’amélioration de la ventilation des locaux, (ex : ouverture manœuvrable en toiture).</t>
  </si>
  <si>
    <t>Conséquence d’une asphyxie due au manque d’oxygène dans l’air respirable.</t>
  </si>
  <si>
    <t xml:space="preserve">Intervention en binôme. </t>
  </si>
  <si>
    <t>- Ventilation au préalable, utilisation d’une flamme (bougie, lampe à carbure), détecteur de CO2.
- Faire réaliser l'opération par un prestataire disposant des équipements adaptés au risque.</t>
  </si>
  <si>
    <t>Accès en hauteur improvisé, escaliers, rangements, comportements non sécuritaires</t>
  </si>
  <si>
    <t>Blessures diverses</t>
  </si>
  <si>
    <t>- Mise à disposition d’escabeau ou de marche pied (Zattara escabeau 3 marches),
- Consigne : Pas de transport d’objets dans les 2 mains en montant, garder toujours une main libre.</t>
  </si>
  <si>
    <t>Remontée des besoins pour généralisation des escabeaux ou marchepied correspondants aux exigences de sécurité (opter pour des modèles classe 2 ou idéalement classe 1).</t>
  </si>
  <si>
    <t>Chaussures de sécurité à semelles anti_x0002_dérapantes, coordination avec le pilote._x000D_</t>
  </si>
  <si>
    <t>Évaluation au préalable si possible des conditions d’accès sur digues et enrochements.</t>
  </si>
  <si>
    <t>- Port de chaussures de sécurité à semelles anti dérapantes,
- Respect des consignes travaux : acquisition d’un échafaudage, PIR.
- Travail en binôme.</t>
  </si>
  <si>
    <t>- Port des EPI ( chaussures de sécurité anti-dérapantes), rangement, nettoyage.</t>
  </si>
  <si>
    <t>- Vigilance sur le rangement et le nettoyage régulier des sols,
- Balisage des zones à risques et maintient d’un bon éclairage (voir R.25 et 30)._x000D_</t>
  </si>
  <si>
    <t>Maintient de la fermeture de la barrière de sécurité en dehors des opérations de manutention._x000D_</t>
  </si>
  <si>
    <t>Affichage du danger (balisage au sol)._x000D_</t>
  </si>
  <si>
    <t>- Port du VFI, EPI (chaussures équipées de semelles anti-dérapantes).
- Manœuvres de levage (guidées) en binôme.</t>
  </si>
  <si>
    <t>- Sécurisation abords de la mise à l’eau (Port de Bouc).
- Acquisition de VFI pour les centres non dotés.</t>
  </si>
  <si>
    <t>- Lampes de bureaux d’appoint individuelles, stores aux fenêtres, relamping et réglage des luminaires direct/indirect sur pied de Zattara.
- Etude et recommandations formulées par le CP sur le type d’éclairage optimal (y compris D.E.L&gt;UGR).</t>
  </si>
  <si>
    <t>- Remplacement des éclairages de circulation (panneaux D.E.L UGR&lt; 19) au 2ème et 1er Zattara ou la DIRM est présente.
- Entretien et rénovation de l’éclairage sur certains sites.</t>
  </si>
  <si>
    <t>- Recensement et étude des zones mal éclairées.
- Remontées des anomalies à la hiérarchie, si besoins de contrôle des niveaux d’éclairement contacter le CP.</t>
  </si>
  <si>
    <t>Chute, dommages corporels.</t>
  </si>
  <si>
    <t>Éclairages extérieurs et des entrepôts entretenu, lampes de poche._x000D_</t>
  </si>
  <si>
    <t>- Entretien régulier des systèmes d’éclairage.
- Etude des zones mal éclairées ou présentant un éblouissement (choix d'éclairages adaptés aux locaux et à la tâche).</t>
  </si>
  <si>
    <t>- Afficher le risque sur chaque poste ou équipement (signalétique, pictogramme de rappel).
- Acquisition de casque antibruit avec moyen de communication, de protections auditives adaptées et sur mesure.
- Evaluation à réaliser selon les situations d’expositions remontées (contacter le CP).
- Choix de matériels insonorisés à la conception lors du renouvellement..</t>
  </si>
  <si>
    <t>- Acquisition, remplacement et adaptation du matériel de bureau afin d’améliorer l’ergonomie (plan de travail ,fauteuil, écrans, portes-documents, repose-pieds..).
- Pauses régulières, alternance des tâches, exercices d'étirements réguliers.
- Site Zattara: suite à une viste de poste du MDP et CP des recommandations ergonomiques ont été données, un rapport a été remis au DIRM, le CP en assure le suivi.</t>
  </si>
  <si>
    <t>Implantation du bureau informatique revue à l'arrivée du renfort pour améliorer les conditions de travail.</t>
  </si>
  <si>
    <t>Prise en compte des amplitudes horaires et des durées de repos (Cf.RI relatif à l’aménagement et à la réduction du temps de travail).</t>
  </si>
  <si>
    <t xml:space="preserve">- Relance DDTM13 pour réalisation de travaux dans les escaliers du 2ème zattara (après 2 nouveaux accidents), améliorations à apportées: pose d'une main courante, reprise des différences de niveaux des marches et des nez de marches..
- Archives lors de l’accès au sous-sol, prévenir un collègue sur la situation isolée, vigilance sur la présence au retour.
- Port du badge d’accès surtout lors des heures les moins fréquentées (risque de se retrouver bloqué dans le hall après 19h fermeture de l'acceuil et des grilles).
- Problématique de la porte WC homme (2ème étage Zattara) qui s’ouvre sur le couloir (risque de heurt).
- Pose de protections sur les rampes d’élévateurs handicapés situées au bas des 3 escaliers.
</t>
  </si>
  <si>
    <t xml:space="preserve">- Relance DDTM13 pour réalisation de travaux dans les escaliers du 2ème zattara (après 2 nouveaux accidents), améliorations à apportées: pose d'une main courante, reprise des différences de niveaux des marches et des nez de marches..
Autres à proposer Zattara :
- Archives lors de l’accès au sous-sol, prévenir un collègue sur la situation isolée, vigilance sur la présence au retour.
- Port du badge d’accès surtout lors des heures les moins fréquentées (risque de se retrouver bloqué dans le hall après 19h fermeture de l'acceuil et des grilles).
- Problématique de la porte WC homme (2ème étage Zattara) qui s’ouvre sur le couloir (risque de heurt).
- Pose de protections sur les rampes d’élévateurs handicapés situées au bas des 3 escaliers.
</t>
  </si>
  <si>
    <t xml:space="preserve">- Périodes de nettoyage et de rangement à intégrer au planning.
- Baliser les zones à risques.
- Pose systématique de trépied de sécurité (sol glissant) après nettoyage des sols (responsabilité du personnel de nettoyage).
</t>
  </si>
  <si>
    <t>- Installation de goulottes au sol pour la protection et le passage de câbles, rangement des câbles bureautiques, revêtements antidérapants.
- Dégagement des voies de circulation.
- Balisage réflexe (signalétique temporaire) des zones à risques.
- Achat de trépied de signalement du sol glissant (site Zattara).
- Réorganisation du service emploi formation à Zattara.
- Zattara (suite à plusieurs accidents avec jours d’arrêts) : étude réalisée par le CP pour mise en conformité des escaliers du 2ème étage. Refus de la DDTM13 de réalisation des travaux de remise en conformité. Pose d'un affichage de mise en garde.</t>
  </si>
  <si>
    <t>- Suppression du risque possible par réagencement des postes et en cas d’impossibilité généralisation des passages de câbles, le rangement des câbles bureautique est à ne pas négliger.
- Généralisation des revêtements antidérapants sur les nez de marches et de pose de signalétique indiquant le danger.
- Anticipation de l’espace d’archivage (y compris archives vivantes).
- Pose systématique de trépied de sécurité (sol glissant) après nettoyage des sols (responsabilité du personnel de nettoyage).</t>
  </si>
  <si>
    <t>Tous ceux liés à l’absence ou au retard de prise en charge du blessé par les services de secours.</t>
  </si>
  <si>
    <t>- Tout moyen de communication permettant un contact régulier, fréquent et un suivi à distance avec l’intervenant isolé,
- signalement d’absence anormale par l’entourage familial.
- Réalisation d’un inventaire des travaux interdits aux travailleurs isolés afin d’éviter toute ambiguïté, tout dépassement et pour amener à une prise de conscience de la problématique, contacts réguliers avec son référent,
- intervention en binôme en cas de travaux évalués dangereux._x000D_</t>
  </si>
  <si>
    <t xml:space="preserve"> Vérification si pas de contre-indications médicales (état physique et psychosocial).
Définition explicite des tâches assignées afin d’éviter toute ambiguïté, tout dépassement et de favoriser une meilleure prise de conscience de la problématique.
Poursuite de la recherche de dispositifs techniques d’alarme.
Actualisation des mesures relatives au travailleur isolé (2016).
Equiper de DAE les sites isolés.</t>
  </si>
  <si>
    <t>Sécurisation des accès, moyens de communication permettant un contact régulier.</t>
  </si>
  <si>
    <t>- Procédure spécifique à définir.
- Archives Zattara (note interne à rédiger) lors de l’accès au sous-sol, prévenir un collègue sur la situation isolée vigilance sur la présence au retour.
- Zattara port du badge d’accès surtout lors des heures les moins fréquentées.</t>
  </si>
  <si>
    <t>- Vérification régulière si pas de contre indications médicale (état psychosocial) pour les agents en situation isolé.
Suivi du plan d’actions RPS :
- remontées systématiques d’incidents,
- formation gestion des mails à proposer.</t>
  </si>
  <si>
    <t>- Mise en oeuvre d’un plan d’évaluation et de prévention des RPS dans le cadre du plan national d’action, plan d’actions en cours.
- Suivi médical du MDP et permanence ASS, suivi du groupe de coordination médico-social.</t>
  </si>
  <si>
    <t>Suivi du plan d’actions RPS :
- Remontées systématiques d’incidents (pour prise en charge par le réseau et analyse de la situation),
- agressions lors d'acceuil du public voir risque suivant (R.34).
- Basculement des appels administrés (04 86 94 67 27) sur répondeur pour réorientation vers les services compétents (plaisance...).
- Formation à proposer : gestion des mails, gestion du stress, fondamentaux pour la prévention des RPS...</t>
  </si>
  <si>
    <t xml:space="preserve"> - Diffusion des documents et sensibilisation par les affichages obligatoires,
 - Accès aux brochures contenant les informations relatives aux risques sur l'intranet lien: http://intra.dram-mediterranee.i2/les-risques-psychosociaux-r829.html
 - Sensibilisation et formation des managers à la gestion des conflits et à la lutte contre le sexisme au travail.</t>
  </si>
  <si>
    <t>- Consigne de réception du public reconnu comme difficile (encadré par deux agents), à Zattara consignes à l’accueil,
- sur site hébergé : calage des horaires sur ceux du personnel du service hébergeur.
- Procédure interne de signalement des incidents/agressions.</t>
  </si>
  <si>
    <t>- Généralisation des mesures de prévention existantes,
- remontées systématiques d’incidents pour analyse et prise en compte,
- écoute de l’agent victime d'agression ou de stress post-traumatique (debriefing, désamorçage),
- formation des agents les plus exposés à la gestion des situations de tensions et/ou de conflits (gérer, désamorcer et prévenir l’agressivité dans l’accueil d’un public difficile).
- SEF (Zattara) améliorer l’indication de la sortie aux administrés.</t>
  </si>
  <si>
    <t>- Fermeture des accès, signalétique pour interdire l’accès des sites au public (portail à fermeture automatique, alarme, téléphone portable).
- Procédure interne de signalement des agressions.</t>
  </si>
  <si>
    <t>- Étendre l’installation d’une signalétique pour interdire l’accès des sites au public.
- Remontées systématiques d’incidents pour analyse.</t>
  </si>
  <si>
    <t>Entrée et sortie sur le site de Sète (accès dangereux au bord d’un axe routier rapide et très fréquenté) .</t>
  </si>
  <si>
    <t>Vigilance particulière sur cet axe et consignes inhérentes systématiques.</t>
  </si>
  <si>
    <t>Lors d’inhalation d’aérosols émis par  la vapeur d’eau chaude sanitaire  contaminée par des légionelles* au  points d’usages. 
* Le risque de prolifération de la  bactérie légionella pneumophila  favorisé par une température de  l’eau de 25° à 43° (installations d’eau  chaude sanitaire, réserve stagnante, cumulus peu utilisés, bras morts).</t>
  </si>
  <si>
    <t xml:space="preserve">Démarche et consignes à généraliser :
- Préventive : 
=&gt; vérifications des installations d’eau chaude sanitaire particulièrement si présence de bras morts et/ou peu utilisées,
=&gt; éventuellement analyses de l’eau,
=&gt; surveillance de la température de l’eau chaude sanitaire (45°C minimum en sortie de robinets, douches…),
=&gt; laisser couler l’eau peu utilisés ou après une absence prolongée (pendant 1 minute avant utilisation),
=&gt; détartrer et désinfecter régulièrement les embouts de robinetterie
- Curative : (choc thermique ,chlore).
</t>
  </si>
  <si>
    <t>Exposition à des agents infectieux (bactéries*, virus*, champignons,parasites) ou allergènes (pollens, insectes..), transmis par contact avec l’environnement, les gens, les animaux, les insectes, la végétation (exemple lors de contact avec des personnes contaminées, des insectes, moisissures, animaux morts, des éléments souillés : poignée de porte, détritus divers, matières fécales).
* Analyse de situations d’expositions et impact épidémique (Ex : Angine, Grippe, Covid..) :
• Exposition par contact interpersonnel: risque de transmission directe par postillons contaminés émis par autrui :
      - Parler projette des postillons à environ 1,5 m,
      - Éternuer, tousser les projette à environ 3-5 m.
• Exposition par contact avec des surfaces contaminées : locaux de travail, matériels, produits : risque de transmission indirecte par manuportage (en se touchant le visage notamment le nez, la bouche, les yeux avec les mains).      
• Impact organisationnel (mode dégradé), associé à une restructuration de l’activité. Il est d’autant plus fort si la réorganisation se fait « à chaud », en réaction, et non sur la base d’une anticipation.</t>
  </si>
  <si>
    <t xml:space="preserve">- Lavage des mains régulier pour se décontaminer et éviter de contaminer les autres ou utilisation de produit hydroalcoolique désinfectant (à utiliser sur main non souillées, ces solutions ne remplacent pas l’eau et le savon).
- En général pas de contact des mains souillées avec ses yeux, son nez, sa bouche.
- Respect des mesures barrières.
- Port d’EPI adaptés à la situation (gants jetables, masques de protection respiratoire..).
- Aérosol d’insecticide (dans les véhicules d’intervention).
- Vestiaires, douches, matériel de lavage des vêtements ( travaux salissants).
</t>
  </si>
  <si>
    <t>Leptospirose* contractée en général lors d’une activité en relation avec un environnement contaminé : eaux , animaux porteurs, déjections de rongeurs, lieux humides.
*maladie bactérienne qui se transmet par contact avec les muqueuses (oeil, bouche, nez...) ou des plaies/égratignures.</t>
  </si>
  <si>
    <t>Exposition à divers agents pathogènes lors des interventions sur les pompes de relevage d’eau usées du centre POLMAR de Port de Bouc</t>
  </si>
  <si>
    <t>- Agents susceptibles de provoquer une infection, une allergie ou une intoxication.
- Transmission de virus, parasites, pathologies diverses. Maladies (leptospirose, …)_x000D_</t>
  </si>
  <si>
    <t>- EPI (gants, masques, bottes, combinaisons jetables).
- Suivi du MDP.</t>
  </si>
  <si>
    <t>- Port des EPI d'usage: Port de masque FFP2, bottes, combinaisons et gants jetables.
- Consultation du MDP renseignements sur éventuelle vaccination (voir Leptospirose risque 39).
- Faire réaliser l'opération par un prestataire disposant des équipements adaptés au risque.</t>
  </si>
  <si>
    <t>Réception du public sans guichet de séparation, non respect des mesures barrières.</t>
  </si>
  <si>
    <t>Transmission de maladies infectieuses</t>
  </si>
  <si>
    <t>- Sièges facilement nettoyables (plastique),
- utilisations de produits nettoyants.
- Lavage des mains régulier pour se décontaminer et éviter de contaminer les autres ou utilisation de produit hydroalcoolique désinfectant (à utiliser sur main non souillées, ces solutions ne remplacent pas l’eau et le savon).</t>
  </si>
  <si>
    <t>- Rappel des consignes sanitaires (verbales ,affichage..) dès la réception des administrés.
- SEF (Zattara) améliorer l’indication de la sortie aux administrés.
- En période d'épidémie (grippe, Covid..), mise en application des consignes principales (hygiène des mains, mesures barrières, distanciation physique,…).
- Remontées des besoins en équipements et protections spécifiques.</t>
  </si>
  <si>
    <t>- Lavage des mains régulier pour se décontaminer et éviter de contaminer les autres ou utilisation de produit hydroalcoolique désinfectant (à utiliser sur main non souillées, ces solutions ne remplacent pas l’eau et le savon).
- En général les situations de contact des mains souillées avec ses yeux, son nez, sa bouche sont évitées.</t>
  </si>
  <si>
    <t>- En période d'épidémie (grippe, Covid..), mise en application :
-&gt; des consignes principales (hygiène des mains, mesures barrières, distanciation physique,…),
-&gt; du plan de continuité d’activité (en fonction des différents niveaux),
-&gt; du plan de reprise des activités et des procédures spécifiques définisant les mesures de protection (organisationnelles, collectives, individuelles..) à mettre en oeuvre au sein des services en fonction des diverses activités afin de réduire la propagation du virus (réévaluation nécessaire des risques, en incluant les situations liées au Covid-19).
- Remontées des besoins en équipements et protections spécifiques.</t>
  </si>
  <si>
    <t>- Mauvaise ergonomie (TMS dûs à la posture, la taille d'écran et l'ajustement du siège..),
- L’exposition importante aux écrans de visualisation (et en particulier à la lumière bleue),
- La diminution de l’exposition à la lumière naturelle au cours de la journée (voir risque 28 lié au travail sur écran),
- Endormissements et réveils plus tardifs,
- La baisse de la pratique de l’activité physique,
- L’augmentation de la charge de travail et l’enchaînement de longues journées de travail,
- L’accès plus complexe aux informations (reporting du travail),
- Les problèmes techniques lors de l’utilisation des outils numériques (voir risque 29 lié aux conditions de travail particulières: horaires décalés, astreinte),
- La complexification des interactions sociales nécessaires à la réalisation du travail,
- L’érosion des moments de convivialité, 
- L’isolement du collectif, la perte du sentiment d’appartenance ; le contrôle et les actions de reporting du travail à distance excessifs,
- L’isolement et le manque de soutien face au travail et aux problèmes éventuels,
- Le questionnement sur le sens du travail,
- La porosité entre la sphère professionnelle et la sphère privée (voir risques 33 psychosociaux: stresse, violence morale...).</t>
  </si>
  <si>
    <t>Procédure :  la personne qui monte l’échafaudage ne doit pas être celle qui le contrôle. De plus, un contrôle doit être réalisé chaque jour par une personne compétente.
Problème : pas d’obligation réglementaire de recyclage des formations. Proposition : rendre le recyclage obligatoire via le DUERP, par exemple tous les 5 ans, comme pour le travail en hauteur.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</si>
</sst>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name val="Arial"/>
      <family val="2"/>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2">
    <xf numFmtId="0" fontId="0" fillId="0" borderId="0"/>
    <xf numFmtId="0" fontId="1" fillId="0" borderId="0"/>
  </cellStyleXfs>
  <cellXfs count="59">
    <xf numFmtId="0" fontId="0" fillId="0" borderId="0" xfId="0"/>
    <xf numFmtId="0" fontId="0" fillId="0" borderId="0" xfId="0" applyAlignment="1">
      <alignment wrapText="1"/>
    </xf>
    <xf numFmtId="0" fontId="0" fillId="0" borderId="0" xfId="0" applyAlignment="1">
      <alignment horizontal="right" wrapText="1"/>
    </xf>
    <xf numFmtId="0" fontId="0" fillId="0" borderId="0" xfId="0" applyAlignment="1">
      <alignment horizontal="center" vertical="center" wrapText="1"/>
    </xf>
    <xf numFmtId="0" fontId="0" fillId="0" borderId="0" xfId="1" applyFont="1" applyAlignment="1">
      <alignment horizontal="left" vertical="center" wrapText="1"/>
    </xf>
    <xf numFmtId="0" fontId="0" fillId="0" borderId="0" xfId="1" applyFont="1" applyAlignment="1">
      <alignment horizontal="right" wrapText="1"/>
    </xf>
    <xf numFmtId="0" fontId="0" fillId="0" borderId="0" xfId="1" applyFont="1" applyAlignment="1">
      <alignment wrapText="1"/>
    </xf>
    <xf numFmtId="3" fontId="0" fillId="0" borderId="0" xfId="1" applyNumberFormat="1" applyFont="1" applyAlignment="1">
      <alignment horizontal="center" vertical="center" wrapText="1"/>
    </xf>
    <xf numFmtId="0" fontId="0" fillId="0" borderId="0" xfId="1" applyFont="1" applyAlignment="1">
      <alignment horizontal="left" vertical="center"/>
    </xf>
    <xf numFmtId="14" fontId="0" fillId="0" borderId="0" xfId="0" applyNumberFormat="1" applyAlignment="1">
      <alignment wrapText="1"/>
    </xf>
    <xf numFmtId="0" fontId="0" fillId="0" borderId="0" xfId="1" applyFont="1" applyFill="1" applyAlignment="1">
      <alignment horizontal="left" vertical="center" wrapText="1"/>
    </xf>
    <xf numFmtId="0" fontId="0" fillId="0" borderId="0" xfId="0" applyFill="1" applyAlignment="1">
      <alignment wrapText="1"/>
    </xf>
    <xf numFmtId="0" fontId="0" fillId="0" borderId="0" xfId="0" applyFill="1" applyAlignment="1">
      <alignment horizontal="right" wrapText="1"/>
    </xf>
    <xf numFmtId="0" fontId="0" fillId="0" borderId="0" xfId="0" applyFill="1" applyAlignment="1">
      <alignment horizontal="center" vertical="center" wrapText="1"/>
    </xf>
    <xf numFmtId="14" fontId="0" fillId="0" borderId="0" xfId="1" applyNumberFormat="1" applyFont="1" applyAlignment="1">
      <alignment wrapText="1"/>
    </xf>
    <xf numFmtId="3" fontId="0" fillId="0" borderId="0" xfId="1" applyNumberFormat="1" applyFont="1" applyFill="1" applyAlignment="1">
      <alignment horizontal="center" vertical="center" wrapText="1"/>
    </xf>
    <xf numFmtId="0" fontId="0" fillId="0" borderId="0" xfId="0" applyNumberFormat="1" applyAlignment="1">
      <alignment wrapText="1"/>
    </xf>
    <xf numFmtId="0" fontId="0" fillId="0" borderId="0" xfId="1" applyFont="1" applyFill="1" applyAlignment="1">
      <alignment horizontal="right" wrapText="1"/>
    </xf>
    <xf numFmtId="3" fontId="0" fillId="0" borderId="0" xfId="1" applyNumberFormat="1" applyFont="1" applyAlignment="1">
      <alignment wrapText="1"/>
    </xf>
    <xf numFmtId="0" fontId="0" fillId="2" borderId="1" xfId="1" applyFont="1" applyFill="1" applyBorder="1" applyAlignment="1">
      <alignment horizontal="left" vertical="center" wrapText="1"/>
    </xf>
    <xf numFmtId="0" fontId="0" fillId="2" borderId="1" xfId="0" applyFill="1" applyBorder="1" applyAlignment="1">
      <alignment wrapText="1"/>
    </xf>
    <xf numFmtId="0" fontId="0" fillId="2" borderId="1" xfId="0" applyFill="1" applyBorder="1" applyAlignment="1">
      <alignment horizontal="right" wrapText="1"/>
    </xf>
    <xf numFmtId="14" fontId="0" fillId="2" borderId="1" xfId="0" applyNumberFormat="1" applyFill="1" applyBorder="1" applyAlignment="1">
      <alignment wrapText="1"/>
    </xf>
    <xf numFmtId="0" fontId="0" fillId="0" borderId="1" xfId="1" applyFont="1" applyBorder="1" applyAlignment="1">
      <alignment horizontal="left" vertical="center" wrapText="1"/>
    </xf>
    <xf numFmtId="0" fontId="0" fillId="0" borderId="1" xfId="0" applyBorder="1" applyAlignment="1">
      <alignment wrapText="1"/>
    </xf>
    <xf numFmtId="0" fontId="0" fillId="2" borderId="1" xfId="1" applyFont="1" applyFill="1" applyBorder="1" applyAlignment="1">
      <alignment wrapText="1"/>
    </xf>
    <xf numFmtId="0" fontId="0" fillId="0" borderId="1" xfId="1" applyFont="1" applyBorder="1" applyAlignment="1">
      <alignment wrapText="1"/>
    </xf>
    <xf numFmtId="14" fontId="0" fillId="2" borderId="1" xfId="1" applyNumberFormat="1" applyFont="1" applyFill="1" applyBorder="1" applyAlignment="1">
      <alignment wrapText="1"/>
    </xf>
    <xf numFmtId="14" fontId="0" fillId="0" borderId="1" xfId="1" applyNumberFormat="1" applyFont="1" applyBorder="1" applyAlignment="1">
      <alignment wrapText="1"/>
    </xf>
    <xf numFmtId="0" fontId="0" fillId="0" borderId="0" xfId="1" applyFont="1" applyFill="1" applyBorder="1" applyAlignment="1">
      <alignment horizontal="left" vertical="center" wrapText="1"/>
    </xf>
    <xf numFmtId="3" fontId="0" fillId="0" borderId="0" xfId="1" applyNumberFormat="1" applyFont="1" applyFill="1" applyBorder="1" applyAlignment="1">
      <alignment horizontal="center" vertical="center" wrapText="1"/>
    </xf>
    <xf numFmtId="14" fontId="0" fillId="0" borderId="1" xfId="0" applyNumberFormat="1" applyBorder="1" applyAlignment="1">
      <alignment wrapText="1"/>
    </xf>
    <xf numFmtId="0" fontId="0" fillId="2" borderId="1" xfId="0" applyNumberFormat="1" applyFill="1" applyBorder="1" applyAlignment="1">
      <alignment wrapText="1"/>
    </xf>
    <xf numFmtId="0" fontId="0" fillId="0" borderId="0" xfId="1" applyFont="1" applyBorder="1" applyAlignment="1">
      <alignment horizontal="left" vertical="center" wrapText="1"/>
    </xf>
    <xf numFmtId="0" fontId="0" fillId="2" borderId="0" xfId="1" applyFont="1" applyFill="1" applyBorder="1" applyAlignment="1">
      <alignment horizontal="left" vertical="center" wrapText="1"/>
    </xf>
    <xf numFmtId="0" fontId="0" fillId="0" borderId="0" xfId="1" applyFont="1" applyBorder="1" applyAlignment="1">
      <alignment wrapText="1"/>
    </xf>
    <xf numFmtId="0" fontId="0" fillId="2" borderId="0" xfId="1" applyFont="1" applyFill="1" applyBorder="1" applyAlignment="1">
      <alignment wrapText="1"/>
    </xf>
    <xf numFmtId="0" fontId="0" fillId="0" borderId="0" xfId="0" applyBorder="1" applyAlignment="1">
      <alignment wrapText="1"/>
    </xf>
    <xf numFmtId="0" fontId="0" fillId="2" borderId="0" xfId="0" applyFill="1" applyBorder="1" applyAlignment="1">
      <alignment wrapText="1"/>
    </xf>
    <xf numFmtId="0" fontId="0" fillId="2" borderId="0" xfId="0" applyNumberFormat="1" applyFill="1" applyBorder="1" applyAlignment="1">
      <alignment wrapText="1"/>
    </xf>
    <xf numFmtId="0" fontId="0" fillId="0" borderId="1" xfId="0" applyNumberFormat="1" applyBorder="1" applyAlignment="1">
      <alignment wrapText="1"/>
    </xf>
    <xf numFmtId="0" fontId="0" fillId="2" borderId="0" xfId="0" applyFill="1" applyBorder="1" applyAlignment="1">
      <alignment horizontal="right" wrapText="1"/>
    </xf>
    <xf numFmtId="0" fontId="0" fillId="0" borderId="1" xfId="0" applyBorder="1" applyAlignment="1">
      <alignment horizontal="right" wrapText="1"/>
    </xf>
    <xf numFmtId="14" fontId="0" fillId="0" borderId="0" xfId="0" applyNumberFormat="1" applyBorder="1" applyAlignment="1">
      <alignment wrapText="1"/>
    </xf>
    <xf numFmtId="14" fontId="0" fillId="2" borderId="0" xfId="0" applyNumberFormat="1" applyFill="1" applyBorder="1" applyAlignment="1">
      <alignment wrapText="1"/>
    </xf>
    <xf numFmtId="14" fontId="0" fillId="0" borderId="0" xfId="1" applyNumberFormat="1" applyFont="1" applyBorder="1" applyAlignment="1">
      <alignment wrapText="1"/>
    </xf>
    <xf numFmtId="14" fontId="0" fillId="2" borderId="0" xfId="1" applyNumberFormat="1" applyFont="1" applyFill="1" applyBorder="1" applyAlignment="1">
      <alignment wrapText="1"/>
    </xf>
    <xf numFmtId="0" fontId="0" fillId="0" borderId="0" xfId="0" applyNumberFormat="1" applyBorder="1" applyAlignment="1">
      <alignment wrapText="1"/>
    </xf>
    <xf numFmtId="0" fontId="0" fillId="0" borderId="0" xfId="0" applyBorder="1" applyAlignment="1">
      <alignment horizontal="right" wrapText="1"/>
    </xf>
    <xf numFmtId="0" fontId="0" fillId="0" borderId="2" xfId="1" applyFont="1" applyBorder="1" applyAlignment="1">
      <alignment horizontal="left" vertical="center" wrapText="1"/>
    </xf>
    <xf numFmtId="0" fontId="0" fillId="0" borderId="2" xfId="1" applyFont="1" applyBorder="1" applyAlignment="1">
      <alignment wrapText="1"/>
    </xf>
    <xf numFmtId="0" fontId="0" fillId="0" borderId="2" xfId="0" applyBorder="1" applyAlignment="1">
      <alignment wrapText="1"/>
    </xf>
    <xf numFmtId="3" fontId="0" fillId="0" borderId="1" xfId="1" applyNumberFormat="1" applyFont="1" applyBorder="1" applyAlignment="1">
      <alignment wrapText="1"/>
    </xf>
    <xf numFmtId="14" fontId="0" fillId="0" borderId="2" xfId="1" applyNumberFormat="1" applyFont="1" applyBorder="1" applyAlignment="1">
      <alignment wrapText="1"/>
    </xf>
    <xf numFmtId="0" fontId="0" fillId="0" borderId="0" xfId="1" applyFont="1" applyFill="1" applyAlignment="1">
      <alignment wrapText="1"/>
    </xf>
    <xf numFmtId="0" fontId="1" fillId="0" borderId="0" xfId="1" applyFont="1" applyAlignment="1">
      <alignment wrapText="1"/>
    </xf>
    <xf numFmtId="0" fontId="0" fillId="0" borderId="2" xfId="0" applyNumberFormat="1" applyBorder="1" applyAlignment="1">
      <alignment wrapText="1"/>
    </xf>
    <xf numFmtId="0" fontId="0" fillId="0" borderId="2" xfId="0" applyBorder="1" applyAlignment="1">
      <alignment horizontal="right" wrapText="1"/>
    </xf>
    <xf numFmtId="0" fontId="0" fillId="0" borderId="0" xfId="1" applyFont="1" applyFill="1" applyBorder="1" applyAlignment="1">
      <alignment horizontal="right" wrapText="1"/>
    </xf>
  </cellXfs>
  <cellStyles count="2">
    <cellStyle name="NiveauLigne_4" xfId="1" builtinId="1" iLevel="3"/>
    <cellStyle name="Normal" xfId="0" builtinId="0"/>
  </cellStyles>
  <dxfs count="84">
    <dxf>
      <font>
        <color theme="1"/>
      </font>
      <fill>
        <patternFill>
          <bgColor rgb="FF92D050"/>
        </patternFill>
      </fill>
      <border>
        <vertical/>
        <horizontal/>
      </border>
    </dxf>
    <dxf>
      <font>
        <color rgb="FF9C0006"/>
      </font>
      <fill>
        <patternFill>
          <bgColor rgb="FFFFC7CE"/>
        </patternFill>
      </fill>
    </dxf>
    <dxf>
      <font>
        <color theme="1"/>
      </font>
      <fill>
        <patternFill>
          <bgColor rgb="FFFFC000"/>
        </patternFill>
      </fill>
      <border>
        <vertical/>
        <horizontal/>
      </border>
    </dxf>
    <dxf>
      <font>
        <color theme="1"/>
      </font>
      <fill>
        <patternFill>
          <bgColor rgb="FF92D050"/>
        </patternFill>
      </fill>
      <border>
        <vertical/>
        <horizontal/>
      </border>
    </dxf>
    <dxf>
      <font>
        <color theme="1"/>
      </font>
      <fill>
        <patternFill>
          <bgColor rgb="FFFFC000"/>
        </patternFill>
      </fill>
      <border>
        <vertical/>
        <horizontal/>
      </border>
    </dxf>
    <dxf>
      <font>
        <color theme="1"/>
      </font>
      <fill>
        <patternFill>
          <bgColor rgb="FFFF0000"/>
        </patternFill>
      </fill>
      <border>
        <vertical/>
        <horizontal/>
      </border>
    </dxf>
    <dxf>
      <font>
        <color theme="1"/>
      </font>
      <fill>
        <patternFill>
          <bgColor rgb="FFFF0000"/>
        </patternFill>
      </fill>
      <border>
        <vertical/>
        <horizontal/>
      </border>
    </dxf>
    <dxf>
      <font>
        <color theme="1"/>
      </font>
      <fill>
        <patternFill>
          <bgColor rgb="FF92D050"/>
        </patternFill>
      </fill>
      <border>
        <vertical/>
        <horizontal/>
      </border>
    </dxf>
    <dxf>
      <font>
        <color theme="1"/>
      </font>
      <fill>
        <patternFill>
          <bgColor rgb="FF92D050"/>
        </patternFill>
      </fill>
      <border>
        <vertical/>
        <horizontal/>
      </border>
    </dxf>
    <dxf>
      <font>
        <color theme="1"/>
      </font>
      <fill>
        <patternFill>
          <bgColor rgb="FFFFC000"/>
        </patternFill>
      </fill>
      <border>
        <vertical/>
        <horizontal/>
      </border>
    </dxf>
    <dxf>
      <font>
        <color theme="1"/>
      </font>
      <fill>
        <patternFill>
          <bgColor rgb="FFFF0000"/>
        </patternFill>
      </fill>
      <border>
        <vertical/>
        <horizontal/>
      </border>
    </dxf>
    <dxf>
      <font>
        <color theme="1"/>
      </font>
      <fill>
        <patternFill>
          <bgColor rgb="FF92D050"/>
        </patternFill>
      </fill>
      <border>
        <vertical/>
        <horizontal/>
      </border>
    </dxf>
    <dxf>
      <font>
        <color rgb="FF9C0006"/>
      </font>
      <fill>
        <patternFill>
          <bgColor rgb="FFFFC7CE"/>
        </patternFill>
      </fill>
    </dxf>
    <dxf>
      <font>
        <color theme="1"/>
      </font>
      <fill>
        <patternFill>
          <bgColor rgb="FFFFC000"/>
        </patternFill>
      </fill>
      <border>
        <vertical/>
        <horizontal/>
      </border>
    </dxf>
    <dxf>
      <font>
        <color theme="1"/>
      </font>
      <fill>
        <patternFill>
          <bgColor rgb="FF92D050"/>
        </patternFill>
      </fill>
      <border>
        <vertical/>
        <horizontal/>
      </border>
    </dxf>
    <dxf>
      <font>
        <color theme="1"/>
      </font>
      <fill>
        <patternFill>
          <bgColor rgb="FFFFC000"/>
        </patternFill>
      </fill>
      <border>
        <vertical/>
        <horizontal/>
      </border>
    </dxf>
    <dxf>
      <font>
        <color theme="1"/>
      </font>
      <fill>
        <patternFill>
          <bgColor rgb="FFFF0000"/>
        </patternFill>
      </fill>
      <border>
        <vertical/>
        <horizontal/>
      </border>
    </dxf>
    <dxf>
      <font>
        <color theme="1"/>
      </font>
      <fill>
        <patternFill>
          <bgColor rgb="FFFF0000"/>
        </patternFill>
      </fill>
      <border>
        <vertical/>
        <horizontal/>
      </border>
    </dxf>
    <dxf>
      <font>
        <color theme="1"/>
      </font>
      <fill>
        <patternFill>
          <bgColor rgb="FF92D050"/>
        </patternFill>
      </fill>
      <border>
        <vertical/>
        <horizontal/>
      </border>
    </dxf>
    <dxf>
      <font>
        <color theme="1"/>
      </font>
      <fill>
        <patternFill>
          <bgColor rgb="FF92D050"/>
        </patternFill>
      </fill>
      <border>
        <vertical/>
        <horizontal/>
      </border>
    </dxf>
    <dxf>
      <font>
        <color theme="1"/>
      </font>
      <fill>
        <patternFill>
          <bgColor rgb="FFFFC000"/>
        </patternFill>
      </fill>
      <border>
        <vertical/>
        <horizontal/>
      </border>
    </dxf>
    <dxf>
      <font>
        <color theme="1"/>
      </font>
      <fill>
        <patternFill>
          <bgColor rgb="FFFF0000"/>
        </patternFill>
      </fill>
      <border>
        <vertical/>
        <horizontal/>
      </border>
    </dxf>
    <dxf>
      <font>
        <color theme="1"/>
      </font>
      <fill>
        <patternFill>
          <bgColor rgb="FF92D050"/>
        </patternFill>
      </fill>
      <border>
        <vertical/>
        <horizontal/>
      </border>
    </dxf>
    <dxf>
      <font>
        <color theme="1"/>
      </font>
      <fill>
        <patternFill>
          <bgColor rgb="FFFFC000"/>
        </patternFill>
      </fill>
      <border>
        <vertical/>
        <horizontal/>
      </border>
    </dxf>
    <dxf>
      <font>
        <color theme="1"/>
      </font>
      <fill>
        <patternFill>
          <bgColor rgb="FFFF0000"/>
        </patternFill>
      </fill>
      <border>
        <vertical/>
        <horizontal/>
      </border>
    </dxf>
    <dxf>
      <font>
        <color theme="1"/>
      </font>
      <fill>
        <patternFill>
          <bgColor rgb="FFFF0000"/>
        </patternFill>
      </fill>
      <border>
        <vertical/>
        <horizontal/>
      </border>
    </dxf>
    <dxf>
      <font>
        <color theme="1"/>
      </font>
      <fill>
        <patternFill>
          <bgColor rgb="FF92D050"/>
        </patternFill>
      </fill>
      <border>
        <vertical/>
        <horizontal/>
      </border>
    </dxf>
    <dxf>
      <font>
        <color theme="1"/>
      </font>
      <fill>
        <patternFill>
          <bgColor rgb="FF92D050"/>
        </patternFill>
      </fill>
      <border>
        <vertical/>
        <horizontal/>
      </border>
    </dxf>
    <dxf>
      <font>
        <color theme="1"/>
      </font>
      <fill>
        <patternFill>
          <bgColor rgb="FFFFC000"/>
        </patternFill>
      </fill>
      <border>
        <vertical/>
        <horizontal/>
      </border>
    </dxf>
    <dxf>
      <font>
        <color theme="1"/>
      </font>
      <fill>
        <patternFill>
          <bgColor rgb="FFFF0000"/>
        </patternFill>
      </fill>
      <border>
        <vertical/>
        <horizontal/>
      </border>
    </dxf>
    <dxf>
      <font>
        <color theme="1"/>
      </font>
      <fill>
        <patternFill>
          <bgColor rgb="FF92D050"/>
        </patternFill>
      </fill>
      <border>
        <vertical/>
        <horizontal/>
      </border>
    </dxf>
    <dxf>
      <font>
        <color theme="1"/>
      </font>
      <fill>
        <patternFill>
          <bgColor rgb="FFFFC000"/>
        </patternFill>
      </fill>
      <border>
        <vertical/>
        <horizontal/>
      </border>
    </dxf>
    <dxf>
      <font>
        <color theme="1"/>
      </font>
      <fill>
        <patternFill>
          <bgColor rgb="FFFF0000"/>
        </patternFill>
      </fill>
      <border>
        <vertical/>
        <horizontal/>
      </border>
    </dxf>
    <dxf>
      <font>
        <color theme="1"/>
      </font>
      <fill>
        <patternFill>
          <bgColor rgb="FFFF0000"/>
        </patternFill>
      </fill>
      <border>
        <vertical/>
        <horizontal/>
      </border>
    </dxf>
    <dxf>
      <font>
        <color theme="1"/>
      </font>
      <fill>
        <patternFill>
          <bgColor rgb="FF92D050"/>
        </patternFill>
      </fill>
      <border>
        <vertical/>
        <horizontal/>
      </border>
    </dxf>
    <dxf>
      <font>
        <color theme="1"/>
      </font>
      <fill>
        <patternFill>
          <bgColor rgb="FF92D050"/>
        </patternFill>
      </fill>
      <border>
        <vertical/>
        <horizontal/>
      </border>
    </dxf>
    <dxf>
      <font>
        <color theme="1"/>
      </font>
      <fill>
        <patternFill>
          <bgColor rgb="FFFFC000"/>
        </patternFill>
      </fill>
      <border>
        <vertical/>
        <horizontal/>
      </border>
    </dxf>
    <dxf>
      <font>
        <color theme="1"/>
      </font>
      <fill>
        <patternFill>
          <bgColor rgb="FFFF0000"/>
        </patternFill>
      </fill>
      <border>
        <vertical/>
        <horizontal/>
      </border>
    </dxf>
    <dxf>
      <font>
        <color theme="1"/>
      </font>
      <fill>
        <patternFill>
          <bgColor rgb="FF92D050"/>
        </patternFill>
      </fill>
      <border>
        <vertical/>
        <horizontal/>
      </border>
    </dxf>
    <dxf>
      <font>
        <color theme="1"/>
      </font>
      <fill>
        <patternFill>
          <bgColor rgb="FFFFC000"/>
        </patternFill>
      </fill>
      <border>
        <vertical/>
        <horizontal/>
      </border>
    </dxf>
    <dxf>
      <font>
        <color theme="1"/>
      </font>
      <fill>
        <patternFill>
          <bgColor rgb="FFFF0000"/>
        </patternFill>
      </fill>
      <border>
        <vertical/>
        <horizontal/>
      </border>
    </dxf>
    <dxf>
      <font>
        <color theme="1"/>
      </font>
      <fill>
        <patternFill>
          <bgColor rgb="FFFF0000"/>
        </patternFill>
      </fill>
      <border>
        <vertical/>
        <horizontal/>
      </border>
    </dxf>
    <dxf>
      <font>
        <color theme="1"/>
      </font>
      <fill>
        <patternFill>
          <bgColor rgb="FF92D050"/>
        </patternFill>
      </fill>
      <border>
        <vertical/>
        <horizontal/>
      </border>
    </dxf>
    <dxf>
      <font>
        <color theme="1"/>
      </font>
      <fill>
        <patternFill>
          <bgColor rgb="FF92D050"/>
        </patternFill>
      </fill>
      <border>
        <vertical/>
        <horizontal/>
      </border>
    </dxf>
    <dxf>
      <font>
        <color theme="1"/>
      </font>
      <fill>
        <patternFill>
          <bgColor rgb="FFFFC000"/>
        </patternFill>
      </fill>
      <border>
        <vertical/>
        <horizontal/>
      </border>
    </dxf>
    <dxf>
      <font>
        <color theme="1"/>
      </font>
      <fill>
        <patternFill>
          <bgColor rgb="FFFF0000"/>
        </patternFill>
      </fill>
      <border>
        <vertical/>
        <horizontal/>
      </border>
    </dxf>
    <dxf>
      <font>
        <color theme="1"/>
      </font>
      <fill>
        <patternFill>
          <bgColor rgb="FF92D050"/>
        </patternFill>
      </fill>
      <border>
        <vertical/>
        <horizontal/>
      </border>
    </dxf>
    <dxf>
      <font>
        <color theme="1"/>
      </font>
      <fill>
        <patternFill>
          <bgColor rgb="FFFFC000"/>
        </patternFill>
      </fill>
      <border>
        <vertical/>
        <horizontal/>
      </border>
    </dxf>
    <dxf>
      <font>
        <color theme="1"/>
      </font>
      <fill>
        <patternFill>
          <bgColor rgb="FFFF0000"/>
        </patternFill>
      </fill>
      <border>
        <vertical/>
        <horizontal/>
      </border>
    </dxf>
    <dxf>
      <font>
        <color theme="1"/>
      </font>
      <fill>
        <patternFill>
          <bgColor rgb="FFFF0000"/>
        </patternFill>
      </fill>
      <border>
        <vertical/>
        <horizontal/>
      </border>
    </dxf>
    <dxf>
      <font>
        <color theme="1"/>
      </font>
      <fill>
        <patternFill>
          <bgColor rgb="FF92D050"/>
        </patternFill>
      </fill>
      <border>
        <vertical/>
        <horizontal/>
      </border>
    </dxf>
    <dxf>
      <font>
        <color theme="1"/>
      </font>
      <fill>
        <patternFill>
          <bgColor rgb="FF92D050"/>
        </patternFill>
      </fill>
      <border>
        <vertical/>
        <horizontal/>
      </border>
    </dxf>
    <dxf>
      <font>
        <color theme="1"/>
      </font>
      <fill>
        <patternFill>
          <bgColor rgb="FFFFC000"/>
        </patternFill>
      </fill>
      <border>
        <vertical/>
        <horizontal/>
      </border>
    </dxf>
    <dxf>
      <font>
        <color theme="1"/>
      </font>
      <fill>
        <patternFill>
          <bgColor rgb="FFFF0000"/>
        </patternFill>
      </fill>
      <border>
        <vertical/>
        <horizontal/>
      </border>
    </dxf>
    <dxf>
      <font>
        <color theme="1"/>
      </font>
      <fill>
        <patternFill>
          <bgColor rgb="FF92D050"/>
        </patternFill>
      </fill>
      <border>
        <vertical/>
        <horizontal/>
      </border>
    </dxf>
    <dxf>
      <font>
        <color theme="1"/>
      </font>
      <fill>
        <patternFill>
          <bgColor rgb="FFFFC000"/>
        </patternFill>
      </fill>
      <border>
        <vertical/>
        <horizontal/>
      </border>
    </dxf>
    <dxf>
      <font>
        <color theme="1"/>
      </font>
      <fill>
        <patternFill>
          <bgColor rgb="FFFF0000"/>
        </patternFill>
      </fill>
      <border>
        <vertical/>
        <horizontal/>
      </border>
    </dxf>
    <dxf>
      <font>
        <color theme="1"/>
      </font>
      <fill>
        <patternFill>
          <bgColor rgb="FFFF0000"/>
        </patternFill>
      </fill>
      <border>
        <vertical/>
        <horizontal/>
      </border>
    </dxf>
    <dxf>
      <font>
        <color theme="1"/>
      </font>
      <fill>
        <patternFill>
          <bgColor rgb="FF92D050"/>
        </patternFill>
      </fill>
      <border>
        <vertical/>
        <horizontal/>
      </border>
    </dxf>
    <dxf>
      <font>
        <color theme="1"/>
      </font>
      <fill>
        <patternFill>
          <bgColor rgb="FF92D050"/>
        </patternFill>
      </fill>
      <border>
        <vertical/>
        <horizontal/>
      </border>
    </dxf>
    <dxf>
      <font>
        <color theme="1"/>
      </font>
      <fill>
        <patternFill>
          <bgColor rgb="FFFFC000"/>
        </patternFill>
      </fill>
      <border>
        <vertical/>
        <horizontal/>
      </border>
    </dxf>
    <dxf>
      <font>
        <color theme="1"/>
      </font>
      <fill>
        <patternFill>
          <bgColor rgb="FFFF0000"/>
        </patternFill>
      </fill>
      <border>
        <vertical/>
        <horizontal/>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1" indent="0" justifyLastLine="0" shrinkToFit="0" readingOrder="0"/>
    </dxf>
    <dxf>
      <alignment horizontal="right"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left" vertical="center" textRotation="0" wrapText="1" indent="0" justifyLastLine="0" shrinkToFit="0" readingOrder="0"/>
    </dxf>
    <dxf>
      <font>
        <sz val="11"/>
        <color theme="1"/>
        <name val="Calibri"/>
        <family val="2"/>
        <scheme val="minor"/>
      </font>
      <alignment horizontal="left" vertical="center" textRotation="0" wrapText="1" indent="0" justifyLastLine="0" shrinkToFit="0" readingOrder="0"/>
    </dxf>
    <dxf>
      <font>
        <sz val="11"/>
        <color theme="1"/>
        <name val="Calibri"/>
        <family val="2"/>
        <scheme val="minor"/>
      </font>
      <alignment horizontal="left" vertical="center" textRotation="0" wrapText="1" indent="0" justifyLastLine="0" shrinkToFit="0" readingOrder="0"/>
    </dxf>
    <dxf>
      <font>
        <sz val="11"/>
        <color theme="1"/>
        <name val="Calibri"/>
        <family val="2"/>
        <scheme val="minor"/>
      </font>
      <numFmt numFmtId="3" formatCode="#,##0"/>
      <alignment horizontal="center" vertical="center" textRotation="0" wrapText="1" indent="0" justifyLastLine="0" shrinkToFit="0" readingOrder="0"/>
    </dxf>
    <dxf>
      <font>
        <sz val="11"/>
        <color theme="1"/>
        <name val="Calibri"/>
        <family val="2"/>
        <scheme val="minor"/>
      </font>
      <alignment horizontal="left" vertical="center" textRotation="0" wrapText="1" indent="0" justifyLastLine="0" shrinkToFit="0" readingOrder="0"/>
    </dxf>
    <dxf>
      <font>
        <sz val="11"/>
        <color theme="1"/>
        <name val="Calibri"/>
        <family val="2"/>
        <scheme val="minor"/>
      </font>
      <alignment horizontal="left" vertical="center" textRotation="0" wrapText="1" indent="0" justifyLastLine="0" shrinkToFit="0" readingOrder="0"/>
    </dxf>
    <dxf>
      <font>
        <sz val="11"/>
        <color theme="1"/>
        <name val="Calibri"/>
        <family val="2"/>
        <scheme val="minor"/>
      </font>
      <alignment horizontal="left" vertical="center" textRotation="0" wrapText="1"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6AF88C8-F553-42C7-A789-E330C2C65F85}" name="Tableau1434567" displayName="Tableau1434567" ref="A2:T480" totalsRowShown="0" headerRowDxfId="83" dataDxfId="82">
  <autoFilter ref="A2:T480" xr:uid="{0A6F03C2-ABBA-4285-9789-1AC2E76DE44D}"/>
  <sortState xmlns:xlrd2="http://schemas.microsoft.com/office/spreadsheetml/2017/richdata2" ref="A3:T411">
    <sortCondition ref="O2:O411"/>
  </sortState>
  <tableColumns count="20">
    <tableColumn id="2" xr3:uid="{3B80B1F3-39C5-4EEC-9CBE-19801D7A8C8F}" name="Unité " dataDxfId="81" dataCellStyle="NiveauLigne_4"/>
    <tableColumn id="3" xr3:uid="{60B70D1E-3FAB-4636-A5C0-04793F6025DF}" name="Service" dataDxfId="80" dataCellStyle="NiveauLigne_4"/>
    <tableColumn id="4" xr3:uid="{7454539A-B47A-4347-BE79-884F3C421E37}" name="Site" dataDxfId="79" dataCellStyle="NiveauLigne_4"/>
    <tableColumn id="5" xr3:uid="{277BD682-B30E-40BA-AA31-CDEE1B8A3260}" name="Numéro risque" dataDxfId="78" dataCellStyle="NiveauLigne_4"/>
    <tableColumn id="6" xr3:uid="{25A33386-1B8C-4881-B48B-4EEFE49AAF40}" name="Risque " dataDxfId="77" dataCellStyle="NiveauLigne_4"/>
    <tableColumn id="7" xr3:uid="{63505050-5800-4D99-907D-96303A8229F7}" name="Situation dangereuse" dataDxfId="76" dataCellStyle="NiveauLigne_4"/>
    <tableColumn id="8" xr3:uid="{D0B0FC19-4F20-4B6C-BCF5-D984A72BE845}" name="Dommage" dataDxfId="75"/>
    <tableColumn id="9" xr3:uid="{690363F1-D416-4119-AE29-74D8EEB80BAC}" name="Responsable" dataDxfId="74"/>
    <tableColumn id="10" xr3:uid="{7188EF20-4982-4B09-A75E-DBE477EDF7AF}" name="Fréquence" dataDxfId="73"/>
    <tableColumn id="11" xr3:uid="{26CD0F80-8DF8-4D41-AA2B-46BE23550891}" name="Gravité" dataDxfId="72"/>
    <tableColumn id="12" xr3:uid="{B4FFD55B-F215-4806-AFA2-B532911C4E28}" name="Priorité initiale" dataDxfId="71">
      <calculatedColumnFormula>Tableau1434567[[#This Row],[Fréquence]]*Tableau1434567[[#This Row],[Gravité]]</calculatedColumnFormula>
    </tableColumn>
    <tableColumn id="13" xr3:uid="{2333F7E8-5C91-415F-93C8-FE73ABA1DD3D}" name="Mesure Existante" dataDxfId="70"/>
    <tableColumn id="20" xr3:uid="{9408066D-857E-41EC-9445-974965FC7C75}" name="Moyen de Maitrise" dataDxfId="69"/>
    <tableColumn id="15" xr3:uid="{6A54AA70-FDA4-40B1-9FA1-C833BE736DA0}" name="Calcul priorité" dataDxfId="68">
      <calculatedColumnFormula>Tableau1434567[[#This Row],[Moyen de Maitrise]]*Tableau1434567[[#This Row],[Priorité initiale]]</calculatedColumnFormula>
    </tableColumn>
    <tableColumn id="18" xr3:uid="{09330CBB-554F-4937-8362-64F8A0970605}" name="Priorité finale 2" dataDxfId="67" dataCellStyle="NiveauLigne_4"/>
    <tableColumn id="22" xr3:uid="{2941354D-557D-4C7D-9174-D660E9A140B8}" name="Mesures A proposer" dataDxfId="66" dataCellStyle="NiveauLigne_4"/>
    <tableColumn id="16" xr3:uid="{90E06AE6-AFAD-4F41-9AB4-A40C2C7F5068}" name="Etat d'avancement" dataDxfId="65"/>
    <tableColumn id="26" xr3:uid="{2B9D629D-9F51-45AD-B5AA-F8E59CF8EDC4}" name="Denière MAJ" dataDxfId="64"/>
    <tableColumn id="17" xr3:uid="{B14D02AC-2F9E-48DF-ABA3-F4A5CFCAF09B}" name="Échéance" dataDxfId="63"/>
    <tableColumn id="21" xr3:uid="{4EB9E252-D786-4CF2-BFA3-E8CAFEFE1E56}" name="Observation" dataDxfId="62"/>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2D113-5388-4724-B16C-3D288E7B92F3}">
  <dimension ref="A2:T480"/>
  <sheetViews>
    <sheetView tabSelected="1" zoomScale="70" zoomScaleNormal="70" workbookViewId="0">
      <pane ySplit="2" topLeftCell="A3" activePane="bottomLeft" state="frozen"/>
      <selection pane="bottomLeft" activeCell="H4" sqref="H4"/>
    </sheetView>
  </sheetViews>
  <sheetFormatPr baseColWidth="10" defaultRowHeight="15" x14ac:dyDescent="0.25"/>
  <cols>
    <col min="1" max="1" width="20.85546875" style="1" customWidth="1"/>
    <col min="2" max="2" width="43" style="1" customWidth="1"/>
    <col min="3" max="3" width="63.7109375" style="1" customWidth="1"/>
    <col min="4" max="4" width="18.140625" style="3" customWidth="1"/>
    <col min="5" max="5" width="27.7109375" style="1" customWidth="1"/>
    <col min="6" max="6" width="75.85546875" style="1" customWidth="1"/>
    <col min="7" max="7" width="47.5703125" style="1" customWidth="1"/>
    <col min="8" max="8" width="29.140625" style="1" customWidth="1"/>
    <col min="9" max="9" width="12.5703125" style="1" customWidth="1"/>
    <col min="10" max="10" width="11.42578125" style="1"/>
    <col min="11" max="11" width="16.5703125" style="1" customWidth="1"/>
    <col min="12" max="12" width="74.28515625" style="1" customWidth="1"/>
    <col min="13" max="13" width="24.85546875" style="1" customWidth="1"/>
    <col min="14" max="15" width="15.85546875" style="2" customWidth="1"/>
    <col min="16" max="16" width="95.85546875" style="12" customWidth="1"/>
    <col min="17" max="18" width="19.5703125" style="1" customWidth="1"/>
    <col min="19" max="19" width="15.85546875" style="1" customWidth="1"/>
    <col min="20" max="20" width="41.140625" style="1" customWidth="1"/>
    <col min="21" max="16384" width="11.42578125" style="1"/>
  </cols>
  <sheetData>
    <row r="2" spans="1:20" s="3" customFormat="1" x14ac:dyDescent="0.25">
      <c r="A2" s="3" t="s">
        <v>273</v>
      </c>
      <c r="B2" s="3" t="s">
        <v>272</v>
      </c>
      <c r="C2" s="3" t="s">
        <v>271</v>
      </c>
      <c r="D2" s="3" t="s">
        <v>270</v>
      </c>
      <c r="E2" s="3" t="s">
        <v>269</v>
      </c>
      <c r="F2" s="3" t="s">
        <v>268</v>
      </c>
      <c r="G2" s="3" t="s">
        <v>267</v>
      </c>
      <c r="H2" s="3" t="s">
        <v>266</v>
      </c>
      <c r="I2" s="3" t="s">
        <v>265</v>
      </c>
      <c r="J2" s="3" t="s">
        <v>264</v>
      </c>
      <c r="K2" s="3" t="s">
        <v>263</v>
      </c>
      <c r="L2" s="3" t="s">
        <v>262</v>
      </c>
      <c r="M2" s="3" t="s">
        <v>261</v>
      </c>
      <c r="N2" s="2" t="s">
        <v>260</v>
      </c>
      <c r="O2" s="2" t="s">
        <v>259</v>
      </c>
      <c r="P2" s="13" t="s">
        <v>258</v>
      </c>
      <c r="Q2" s="3" t="s">
        <v>257</v>
      </c>
      <c r="R2" s="3" t="s">
        <v>276</v>
      </c>
      <c r="S2" s="3" t="s">
        <v>256</v>
      </c>
      <c r="T2" s="3" t="s">
        <v>255</v>
      </c>
    </row>
    <row r="3" spans="1:20" ht="202.5" customHeight="1" x14ac:dyDescent="0.25">
      <c r="A3" s="10" t="s">
        <v>751</v>
      </c>
      <c r="B3" s="10" t="s">
        <v>752</v>
      </c>
      <c r="C3" s="10" t="s">
        <v>753</v>
      </c>
      <c r="D3" s="15">
        <v>34</v>
      </c>
      <c r="E3" s="10" t="s">
        <v>57</v>
      </c>
      <c r="F3" s="10" t="s">
        <v>439</v>
      </c>
      <c r="G3" s="34" t="s">
        <v>754</v>
      </c>
      <c r="H3" s="36" t="s">
        <v>755</v>
      </c>
      <c r="I3" s="38">
        <v>3</v>
      </c>
      <c r="J3" s="38">
        <v>4</v>
      </c>
      <c r="K3" s="39">
        <f>I3*J3</f>
        <v>12</v>
      </c>
      <c r="L3" s="36" t="s">
        <v>756</v>
      </c>
      <c r="M3" s="38">
        <v>1</v>
      </c>
      <c r="N3" s="41">
        <f>K3*M3</f>
        <v>12</v>
      </c>
      <c r="O3" s="17" t="str">
        <f>IF(AND(N3&gt;=0,N3&lt;4),"P3",IF(AND(N3&gt;=4,N3&lt;=8),"P2",IF(N3&gt;8,"P1","")))</f>
        <v>P1</v>
      </c>
      <c r="P3" s="10" t="s">
        <v>757</v>
      </c>
      <c r="Q3" s="44">
        <v>46090</v>
      </c>
      <c r="R3" s="38"/>
      <c r="S3" s="38"/>
      <c r="T3" s="38"/>
    </row>
    <row r="4" spans="1:20" ht="298.5" customHeight="1" x14ac:dyDescent="0.25">
      <c r="A4" s="10" t="s">
        <v>490</v>
      </c>
      <c r="B4" s="10" t="s">
        <v>491</v>
      </c>
      <c r="C4" s="10" t="s">
        <v>492</v>
      </c>
      <c r="D4" s="15">
        <v>38</v>
      </c>
      <c r="E4" s="10" t="s">
        <v>36</v>
      </c>
      <c r="F4" s="10" t="s">
        <v>35</v>
      </c>
      <c r="G4" s="33" t="s">
        <v>34</v>
      </c>
      <c r="H4" s="35" t="s">
        <v>493</v>
      </c>
      <c r="I4" s="37">
        <v>3</v>
      </c>
      <c r="J4" s="37">
        <v>4</v>
      </c>
      <c r="K4" s="47">
        <f>Tableau1434567[[#This Row],[Fréquence]]*Tableau1434567[[#This Row],[Gravité]]</f>
        <v>12</v>
      </c>
      <c r="L4" s="35" t="s">
        <v>282</v>
      </c>
      <c r="M4" s="37">
        <v>0.75</v>
      </c>
      <c r="N4" s="48">
        <f>Tableau1434567[[#This Row],[Moyen de Maitrise]]*Tableau1434567[[#This Row],[Priorité initiale]]</f>
        <v>9</v>
      </c>
      <c r="O4" s="17" t="str">
        <f>IF(AND(N4&gt;=0,N4&lt;4),"P3",IF(AND(N4&gt;=4,N4&lt;=8),"P2",IF(N4&gt;8,"P1","")))</f>
        <v>P1</v>
      </c>
      <c r="P4" s="10" t="s">
        <v>613</v>
      </c>
      <c r="Q4" s="37"/>
      <c r="R4" s="43">
        <v>46090</v>
      </c>
      <c r="S4" s="37"/>
      <c r="T4" s="37"/>
    </row>
    <row r="5" spans="1:20" ht="354.75" customHeight="1" x14ac:dyDescent="0.25">
      <c r="A5" s="10" t="s">
        <v>614</v>
      </c>
      <c r="B5" s="10" t="s">
        <v>615</v>
      </c>
      <c r="C5" s="10" t="s">
        <v>616</v>
      </c>
      <c r="D5" s="15">
        <v>38</v>
      </c>
      <c r="E5" s="10" t="s">
        <v>36</v>
      </c>
      <c r="F5" s="10" t="s">
        <v>35</v>
      </c>
      <c r="G5" s="33" t="s">
        <v>34</v>
      </c>
      <c r="H5" s="35" t="s">
        <v>617</v>
      </c>
      <c r="I5" s="37">
        <v>3</v>
      </c>
      <c r="J5" s="37">
        <v>4</v>
      </c>
      <c r="K5" s="47">
        <f>Tableau1434567[[#This Row],[Fréquence]]*Tableau1434567[[#This Row],[Gravité]]</f>
        <v>12</v>
      </c>
      <c r="L5" s="35" t="s">
        <v>618</v>
      </c>
      <c r="M5" s="37">
        <v>0.75</v>
      </c>
      <c r="N5" s="48">
        <f>Tableau1434567[[#This Row],[Moyen de Maitrise]]*Tableau1434567[[#This Row],[Priorité initiale]]</f>
        <v>9</v>
      </c>
      <c r="O5" s="17" t="str">
        <f>IF(AND(N5&gt;=0,N5&lt;4),"P3",IF(AND(N5&gt;=4,N5&lt;=8),"P2",IF(N5&gt;8,"P1","")))</f>
        <v>P1</v>
      </c>
      <c r="P5" s="10" t="s">
        <v>619</v>
      </c>
      <c r="Q5" s="37"/>
      <c r="R5" s="37"/>
      <c r="S5" s="37"/>
      <c r="T5" s="37"/>
    </row>
    <row r="6" spans="1:20" ht="225" x14ac:dyDescent="0.25">
      <c r="A6" s="4" t="s">
        <v>854</v>
      </c>
      <c r="B6" s="4" t="s">
        <v>855</v>
      </c>
      <c r="C6" s="4" t="s">
        <v>856</v>
      </c>
      <c r="D6" s="7">
        <v>16</v>
      </c>
      <c r="E6" s="4" t="s">
        <v>142</v>
      </c>
      <c r="F6" s="4" t="s">
        <v>141</v>
      </c>
      <c r="G6" s="4" t="s">
        <v>140</v>
      </c>
      <c r="H6" s="4" t="s">
        <v>857</v>
      </c>
      <c r="I6" s="1">
        <v>4</v>
      </c>
      <c r="J6" s="1">
        <v>4</v>
      </c>
      <c r="K6" s="1">
        <f>Tableau1434567[[#This Row],[Fréquence]]*Tableau1434567[[#This Row],[Gravité]]</f>
        <v>16</v>
      </c>
      <c r="L6" s="4" t="s">
        <v>656</v>
      </c>
      <c r="M6" s="1">
        <v>1</v>
      </c>
      <c r="N6" s="5">
        <f>Tableau1434567[[#This Row],[Priorité initiale]]*Tableau1434567[[#This Row],[Moyen de Maitrise]]</f>
        <v>16</v>
      </c>
      <c r="O6" s="17" t="str">
        <f>IF(AND(N6&gt;=0,N6&lt;4),"P3",IF(AND(N6&gt;=4,N6&lt;=8),"P2",IF(N6&gt;8,"P1","")))</f>
        <v>P1</v>
      </c>
      <c r="P6" s="4" t="s">
        <v>930</v>
      </c>
    </row>
    <row r="7" spans="1:20" ht="105" customHeight="1" x14ac:dyDescent="0.25">
      <c r="A7" s="4" t="s">
        <v>854</v>
      </c>
      <c r="B7" s="4" t="s">
        <v>855</v>
      </c>
      <c r="C7" s="4" t="s">
        <v>858</v>
      </c>
      <c r="D7" s="7">
        <v>16</v>
      </c>
      <c r="E7" s="4" t="s">
        <v>142</v>
      </c>
      <c r="F7" s="4" t="s">
        <v>141</v>
      </c>
      <c r="G7" s="4" t="s">
        <v>140</v>
      </c>
      <c r="H7" s="4" t="s">
        <v>859</v>
      </c>
      <c r="I7" s="1">
        <v>4</v>
      </c>
      <c r="J7" s="1">
        <v>4</v>
      </c>
      <c r="K7" s="1">
        <f>Tableau1434567[[#This Row],[Fréquence]]*Tableau1434567[[#This Row],[Gravité]]</f>
        <v>16</v>
      </c>
      <c r="L7" s="4" t="s">
        <v>656</v>
      </c>
      <c r="M7" s="1">
        <v>1</v>
      </c>
      <c r="N7" s="5">
        <f>Tableau1434567[[#This Row],[Priorité initiale]]*Tableau1434567[[#This Row],[Moyen de Maitrise]]</f>
        <v>16</v>
      </c>
      <c r="O7" s="17" t="str">
        <f>IF(AND(N7&gt;=0,N7&lt;4),"P3",IF(AND(N7&gt;=4,N7&lt;=8),"P2",IF(N7&gt;8,"P1","")))</f>
        <v>P1</v>
      </c>
      <c r="P7" s="4" t="s">
        <v>930</v>
      </c>
    </row>
    <row r="8" spans="1:20" ht="150" customHeight="1" x14ac:dyDescent="0.25">
      <c r="A8" s="4" t="s">
        <v>854</v>
      </c>
      <c r="B8" s="4" t="s">
        <v>855</v>
      </c>
      <c r="C8" s="4" t="s">
        <v>862</v>
      </c>
      <c r="D8" s="7">
        <v>16</v>
      </c>
      <c r="E8" s="4" t="s">
        <v>142</v>
      </c>
      <c r="F8" s="4" t="s">
        <v>141</v>
      </c>
      <c r="G8" s="4" t="s">
        <v>140</v>
      </c>
      <c r="H8" s="4" t="s">
        <v>859</v>
      </c>
      <c r="I8" s="1">
        <v>4</v>
      </c>
      <c r="J8" s="1">
        <v>4</v>
      </c>
      <c r="K8" s="1">
        <f>Tableau1434567[[#This Row],[Fréquence]]*Tableau1434567[[#This Row],[Gravité]]</f>
        <v>16</v>
      </c>
      <c r="L8" s="4" t="s">
        <v>656</v>
      </c>
      <c r="M8" s="1">
        <v>1</v>
      </c>
      <c r="N8" s="5">
        <f>Tableau1434567[[#This Row],[Priorité initiale]]*Tableau1434567[[#This Row],[Moyen de Maitrise]]</f>
        <v>16</v>
      </c>
      <c r="O8" s="17" t="str">
        <f>IF(AND(N8&gt;=0,N8&lt;4),"P3",IF(AND(N8&gt;=4,N8&lt;=8),"P2",IF(N8&gt;8,"P1","")))</f>
        <v>P1</v>
      </c>
      <c r="P8" s="4" t="s">
        <v>930</v>
      </c>
    </row>
    <row r="9" spans="1:20" ht="225" x14ac:dyDescent="0.25">
      <c r="A9" s="4" t="s">
        <v>854</v>
      </c>
      <c r="B9" s="4" t="s">
        <v>855</v>
      </c>
      <c r="C9" s="4" t="s">
        <v>863</v>
      </c>
      <c r="D9" s="7">
        <v>16</v>
      </c>
      <c r="E9" s="4" t="s">
        <v>142</v>
      </c>
      <c r="F9" s="4" t="s">
        <v>141</v>
      </c>
      <c r="G9" s="4" t="s">
        <v>140</v>
      </c>
      <c r="H9" s="4" t="s">
        <v>857</v>
      </c>
      <c r="I9" s="1">
        <v>4</v>
      </c>
      <c r="J9" s="1">
        <v>4</v>
      </c>
      <c r="K9" s="1">
        <f>Tableau1434567[[#This Row],[Fréquence]]*Tableau1434567[[#This Row],[Gravité]]</f>
        <v>16</v>
      </c>
      <c r="L9" s="4" t="s">
        <v>656</v>
      </c>
      <c r="M9" s="1">
        <v>1</v>
      </c>
      <c r="N9" s="5">
        <f>Tableau1434567[[#This Row],[Priorité initiale]]*Tableau1434567[[#This Row],[Moyen de Maitrise]]</f>
        <v>16</v>
      </c>
      <c r="O9" s="17" t="str">
        <f>IF(AND(N9&gt;=0,N9&lt;4),"P3",IF(AND(N9&gt;=4,N9&lt;=8),"P2",IF(N9&gt;8,"P1","")))</f>
        <v>P1</v>
      </c>
      <c r="P9" s="4" t="s">
        <v>930</v>
      </c>
    </row>
    <row r="10" spans="1:20" ht="225" x14ac:dyDescent="0.25">
      <c r="A10" s="4" t="s">
        <v>854</v>
      </c>
      <c r="B10" s="4" t="s">
        <v>855</v>
      </c>
      <c r="C10" s="4" t="s">
        <v>864</v>
      </c>
      <c r="D10" s="7">
        <v>16</v>
      </c>
      <c r="E10" s="4" t="s">
        <v>142</v>
      </c>
      <c r="F10" s="4" t="s">
        <v>141</v>
      </c>
      <c r="G10" s="4" t="s">
        <v>140</v>
      </c>
      <c r="H10" s="4" t="s">
        <v>857</v>
      </c>
      <c r="I10" s="1">
        <v>4</v>
      </c>
      <c r="J10" s="1">
        <v>4</v>
      </c>
      <c r="K10" s="1">
        <f>Tableau1434567[[#This Row],[Fréquence]]*Tableau1434567[[#This Row],[Gravité]]</f>
        <v>16</v>
      </c>
      <c r="L10" s="4" t="s">
        <v>656</v>
      </c>
      <c r="M10" s="1">
        <v>1</v>
      </c>
      <c r="N10" s="5">
        <f>Tableau1434567[[#This Row],[Priorité initiale]]*Tableau1434567[[#This Row],[Moyen de Maitrise]]</f>
        <v>16</v>
      </c>
      <c r="O10" s="17" t="str">
        <f>IF(AND(N10&gt;=0,N10&lt;4),"P3",IF(AND(N10&gt;=4,N10&lt;=8),"P2",IF(N10&gt;8,"P1","")))</f>
        <v>P1</v>
      </c>
      <c r="P10" s="4" t="s">
        <v>930</v>
      </c>
    </row>
    <row r="11" spans="1:20" ht="165" customHeight="1" x14ac:dyDescent="0.25">
      <c r="A11" s="4" t="s">
        <v>854</v>
      </c>
      <c r="B11" s="4" t="s">
        <v>855</v>
      </c>
      <c r="C11" s="4" t="s">
        <v>865</v>
      </c>
      <c r="D11" s="7">
        <v>16</v>
      </c>
      <c r="E11" s="4" t="s">
        <v>142</v>
      </c>
      <c r="F11" s="4" t="s">
        <v>141</v>
      </c>
      <c r="G11" s="4" t="s">
        <v>140</v>
      </c>
      <c r="H11" s="4" t="s">
        <v>857</v>
      </c>
      <c r="I11" s="1">
        <v>4</v>
      </c>
      <c r="J11" s="1">
        <v>4</v>
      </c>
      <c r="K11" s="1">
        <f>Tableau1434567[[#This Row],[Fréquence]]*Tableau1434567[[#This Row],[Gravité]]</f>
        <v>16</v>
      </c>
      <c r="L11" s="4" t="s">
        <v>656</v>
      </c>
      <c r="M11" s="1">
        <v>1</v>
      </c>
      <c r="N11" s="5">
        <f>Tableau1434567[[#This Row],[Priorité initiale]]*Tableau1434567[[#This Row],[Moyen de Maitrise]]</f>
        <v>16</v>
      </c>
      <c r="O11" s="17" t="str">
        <f>IF(AND(N11&gt;=0,N11&lt;4),"P3",IF(AND(N11&gt;=4,N11&lt;=8),"P2",IF(N11&gt;8,"P1","")))</f>
        <v>P1</v>
      </c>
      <c r="P11" s="4" t="s">
        <v>930</v>
      </c>
    </row>
    <row r="12" spans="1:20" ht="396" customHeight="1" x14ac:dyDescent="0.25">
      <c r="A12" s="4" t="s">
        <v>854</v>
      </c>
      <c r="B12" s="4" t="s">
        <v>855</v>
      </c>
      <c r="C12" s="4" t="s">
        <v>866</v>
      </c>
      <c r="D12" s="7">
        <v>16</v>
      </c>
      <c r="E12" s="4" t="s">
        <v>142</v>
      </c>
      <c r="F12" s="4" t="s">
        <v>141</v>
      </c>
      <c r="G12" s="4" t="s">
        <v>140</v>
      </c>
      <c r="H12" s="4" t="s">
        <v>859</v>
      </c>
      <c r="I12" s="1">
        <v>4</v>
      </c>
      <c r="J12" s="1">
        <v>4</v>
      </c>
      <c r="K12" s="1">
        <f>Tableau1434567[[#This Row],[Fréquence]]*Tableau1434567[[#This Row],[Gravité]]</f>
        <v>16</v>
      </c>
      <c r="L12" s="4" t="s">
        <v>656</v>
      </c>
      <c r="M12" s="1">
        <v>1</v>
      </c>
      <c r="N12" s="5">
        <f>Tableau1434567[[#This Row],[Priorité initiale]]*Tableau1434567[[#This Row],[Moyen de Maitrise]]</f>
        <v>16</v>
      </c>
      <c r="O12" s="17" t="str">
        <f>IF(AND(N12&gt;=0,N12&lt;4),"P3",IF(AND(N12&gt;=4,N12&lt;=8),"P2",IF(N12&gt;8,"P1","")))</f>
        <v>P1</v>
      </c>
      <c r="P12" s="4" t="s">
        <v>930</v>
      </c>
    </row>
    <row r="13" spans="1:20" ht="225" x14ac:dyDescent="0.25">
      <c r="A13" s="4" t="s">
        <v>854</v>
      </c>
      <c r="B13" s="4" t="s">
        <v>855</v>
      </c>
      <c r="C13" s="4" t="s">
        <v>867</v>
      </c>
      <c r="D13" s="7">
        <v>16</v>
      </c>
      <c r="E13" s="4" t="s">
        <v>142</v>
      </c>
      <c r="F13" s="4" t="s">
        <v>141</v>
      </c>
      <c r="G13" s="4" t="s">
        <v>140</v>
      </c>
      <c r="H13" s="4" t="s">
        <v>859</v>
      </c>
      <c r="I13" s="1">
        <v>4</v>
      </c>
      <c r="J13" s="1">
        <v>4</v>
      </c>
      <c r="K13" s="1">
        <f>Tableau1434567[[#This Row],[Fréquence]]*Tableau1434567[[#This Row],[Gravité]]</f>
        <v>16</v>
      </c>
      <c r="L13" s="4" t="s">
        <v>656</v>
      </c>
      <c r="M13" s="1">
        <v>1</v>
      </c>
      <c r="N13" s="5">
        <f>Tableau1434567[[#This Row],[Priorité initiale]]*Tableau1434567[[#This Row],[Moyen de Maitrise]]</f>
        <v>16</v>
      </c>
      <c r="O13" s="17" t="str">
        <f>IF(AND(N13&gt;=0,N13&lt;4),"P3",IF(AND(N13&gt;=4,N13&lt;=8),"P2",IF(N13&gt;8,"P1","")))</f>
        <v>P1</v>
      </c>
      <c r="P13" s="4" t="s">
        <v>930</v>
      </c>
    </row>
    <row r="14" spans="1:20" ht="225" x14ac:dyDescent="0.25">
      <c r="A14" s="4" t="s">
        <v>854</v>
      </c>
      <c r="B14" s="4" t="s">
        <v>855</v>
      </c>
      <c r="C14" s="4" t="s">
        <v>870</v>
      </c>
      <c r="D14" s="7">
        <v>16</v>
      </c>
      <c r="E14" s="4" t="s">
        <v>142</v>
      </c>
      <c r="F14" s="4" t="s">
        <v>141</v>
      </c>
      <c r="G14" s="4" t="s">
        <v>140</v>
      </c>
      <c r="H14" s="4" t="s">
        <v>857</v>
      </c>
      <c r="I14" s="1">
        <v>4</v>
      </c>
      <c r="J14" s="1">
        <v>4</v>
      </c>
      <c r="K14" s="1">
        <f>Tableau1434567[[#This Row],[Fréquence]]*Tableau1434567[[#This Row],[Gravité]]</f>
        <v>16</v>
      </c>
      <c r="L14" s="4" t="s">
        <v>656</v>
      </c>
      <c r="M14" s="1">
        <v>1</v>
      </c>
      <c r="N14" s="5">
        <f>Tableau1434567[[#This Row],[Priorité initiale]]*Tableau1434567[[#This Row],[Moyen de Maitrise]]</f>
        <v>16</v>
      </c>
      <c r="O14" s="17" t="str">
        <f>IF(AND(N14&gt;=0,N14&lt;4),"P3",IF(AND(N14&gt;=4,N14&lt;=8),"P2",IF(N14&gt;8,"P1","")))</f>
        <v>P1</v>
      </c>
      <c r="P14" s="4" t="s">
        <v>930</v>
      </c>
    </row>
    <row r="15" spans="1:20" ht="225" x14ac:dyDescent="0.25">
      <c r="A15" s="4" t="s">
        <v>854</v>
      </c>
      <c r="B15" s="4" t="s">
        <v>855</v>
      </c>
      <c r="C15" s="4" t="s">
        <v>871</v>
      </c>
      <c r="D15" s="7">
        <v>16</v>
      </c>
      <c r="E15" s="4" t="s">
        <v>142</v>
      </c>
      <c r="F15" s="4" t="s">
        <v>141</v>
      </c>
      <c r="G15" s="4" t="s">
        <v>140</v>
      </c>
      <c r="H15" s="4" t="s">
        <v>857</v>
      </c>
      <c r="I15" s="1">
        <v>4</v>
      </c>
      <c r="J15" s="1">
        <v>4</v>
      </c>
      <c r="K15" s="1">
        <f>Tableau1434567[[#This Row],[Fréquence]]*Tableau1434567[[#This Row],[Gravité]]</f>
        <v>16</v>
      </c>
      <c r="L15" s="4" t="s">
        <v>656</v>
      </c>
      <c r="M15" s="1">
        <v>1</v>
      </c>
      <c r="N15" s="5">
        <f>Tableau1434567[[#This Row],[Priorité initiale]]*Tableau1434567[[#This Row],[Moyen de Maitrise]]</f>
        <v>16</v>
      </c>
      <c r="O15" s="17" t="str">
        <f>IF(AND(N15&gt;=0,N15&lt;4),"P3",IF(AND(N15&gt;=4,N15&lt;=8),"P2",IF(N15&gt;8,"P1","")))</f>
        <v>P1</v>
      </c>
      <c r="P15" s="4" t="s">
        <v>930</v>
      </c>
    </row>
    <row r="16" spans="1:20" ht="225" x14ac:dyDescent="0.25">
      <c r="A16" s="4" t="s">
        <v>854</v>
      </c>
      <c r="B16" s="4" t="s">
        <v>855</v>
      </c>
      <c r="C16" s="4" t="s">
        <v>872</v>
      </c>
      <c r="D16" s="7">
        <v>16</v>
      </c>
      <c r="E16" s="4" t="s">
        <v>142</v>
      </c>
      <c r="F16" s="4" t="s">
        <v>141</v>
      </c>
      <c r="G16" s="4" t="s">
        <v>140</v>
      </c>
      <c r="H16" s="4" t="s">
        <v>857</v>
      </c>
      <c r="I16" s="1">
        <v>4</v>
      </c>
      <c r="J16" s="1">
        <v>4</v>
      </c>
      <c r="K16" s="1">
        <f>Tableau1434567[[#This Row],[Fréquence]]*Tableau1434567[[#This Row],[Gravité]]</f>
        <v>16</v>
      </c>
      <c r="L16" s="4" t="s">
        <v>656</v>
      </c>
      <c r="M16" s="1">
        <v>1</v>
      </c>
      <c r="N16" s="5">
        <f>Tableau1434567[[#This Row],[Priorité initiale]]*Tableau1434567[[#This Row],[Moyen de Maitrise]]</f>
        <v>16</v>
      </c>
      <c r="O16" s="17" t="str">
        <f>IF(AND(N16&gt;=0,N16&lt;4),"P3",IF(AND(N16&gt;=4,N16&lt;=8),"P2",IF(N16&gt;8,"P1","")))</f>
        <v>P1</v>
      </c>
      <c r="P16" s="4" t="s">
        <v>930</v>
      </c>
    </row>
    <row r="17" spans="1:20" ht="225" x14ac:dyDescent="0.25">
      <c r="A17" s="4" t="s">
        <v>829</v>
      </c>
      <c r="B17" s="4" t="s">
        <v>830</v>
      </c>
      <c r="C17" s="4" t="s">
        <v>831</v>
      </c>
      <c r="D17" s="7">
        <v>16</v>
      </c>
      <c r="E17" s="4" t="s">
        <v>142</v>
      </c>
      <c r="F17" s="4" t="s">
        <v>141</v>
      </c>
      <c r="G17" s="4" t="s">
        <v>140</v>
      </c>
      <c r="H17" s="4" t="s">
        <v>10</v>
      </c>
      <c r="I17" s="1">
        <v>4</v>
      </c>
      <c r="J17" s="1">
        <v>4</v>
      </c>
      <c r="K17" s="1">
        <f>Tableau1434567[[#This Row],[Fréquence]]*Tableau1434567[[#This Row],[Gravité]]</f>
        <v>16</v>
      </c>
      <c r="L17" s="4" t="s">
        <v>656</v>
      </c>
      <c r="M17" s="1">
        <v>1</v>
      </c>
      <c r="N17" s="5">
        <f>Tableau1434567[[#This Row],[Priorité initiale]]*Tableau1434567[[#This Row],[Moyen de Maitrise]]</f>
        <v>16</v>
      </c>
      <c r="O17" s="17" t="str">
        <f>IF(AND(N17&gt;=0,N17&lt;4),"P3",IF(AND(N17&gt;=4,N17&lt;=8),"P2",IF(N17&gt;8,"P1","")))</f>
        <v>P1</v>
      </c>
      <c r="P17" s="4" t="s">
        <v>930</v>
      </c>
    </row>
    <row r="18" spans="1:20" ht="60" x14ac:dyDescent="0.25">
      <c r="A18" s="4" t="s">
        <v>832</v>
      </c>
      <c r="B18" s="4" t="s">
        <v>833</v>
      </c>
      <c r="C18" s="4" t="s">
        <v>834</v>
      </c>
      <c r="D18" s="7">
        <v>16</v>
      </c>
      <c r="E18" s="4" t="s">
        <v>142</v>
      </c>
      <c r="F18" s="4" t="s">
        <v>141</v>
      </c>
      <c r="G18" s="4" t="s">
        <v>140</v>
      </c>
      <c r="H18" s="4" t="s">
        <v>838</v>
      </c>
      <c r="I18" s="1">
        <v>4</v>
      </c>
      <c r="J18" s="1">
        <v>4</v>
      </c>
      <c r="K18" s="1">
        <f>Tableau1434567[[#This Row],[Fréquence]]*Tableau1434567[[#This Row],[Gravité]]</f>
        <v>16</v>
      </c>
      <c r="L18" s="4" t="s">
        <v>853</v>
      </c>
      <c r="M18" s="1">
        <v>1</v>
      </c>
      <c r="N18" s="5">
        <f>Tableau1434567[[#This Row],[Priorité initiale]]*Tableau1434567[[#This Row],[Moyen de Maitrise]]</f>
        <v>16</v>
      </c>
      <c r="O18" s="17" t="str">
        <f>IF(AND(N18&gt;=0,N18&lt;4),"P3",IF(AND(N18&gt;=4,N18&lt;=8),"P2",IF(N18&gt;8,"P1","")))</f>
        <v>P1</v>
      </c>
      <c r="P18" s="4" t="s">
        <v>853</v>
      </c>
    </row>
    <row r="19" spans="1:20" ht="90" x14ac:dyDescent="0.25">
      <c r="A19" s="4" t="s">
        <v>829</v>
      </c>
      <c r="B19" s="4" t="s">
        <v>830</v>
      </c>
      <c r="C19" s="4" t="s">
        <v>831</v>
      </c>
      <c r="D19" s="7">
        <v>17</v>
      </c>
      <c r="E19" s="4" t="s">
        <v>136</v>
      </c>
      <c r="F19" s="4" t="s">
        <v>138</v>
      </c>
      <c r="G19" s="4" t="s">
        <v>137</v>
      </c>
      <c r="H19" s="4" t="s">
        <v>10</v>
      </c>
      <c r="I19" s="1">
        <v>4</v>
      </c>
      <c r="J19" s="1">
        <v>3</v>
      </c>
      <c r="K19" s="1">
        <f>Tableau1434567[[#This Row],[Fréquence]]*Tableau1434567[[#This Row],[Gravité]]</f>
        <v>12</v>
      </c>
      <c r="L19" s="4" t="s">
        <v>931</v>
      </c>
      <c r="M19" s="1">
        <v>0.75</v>
      </c>
      <c r="N19" s="5">
        <f>Tableau1434567[[#This Row],[Priorité initiale]]*Tableau1434567[[#This Row],[Moyen de Maitrise]]</f>
        <v>9</v>
      </c>
      <c r="O19" s="17" t="str">
        <f>IF(AND(N19&gt;=0,N19&lt;4),"P3",IF(AND(N19&gt;=4,N19&lt;=8),"P2",IF(N19&gt;8,"P1","")))</f>
        <v>P1</v>
      </c>
      <c r="P19" s="4" t="s">
        <v>929</v>
      </c>
    </row>
    <row r="20" spans="1:20" ht="135" x14ac:dyDescent="0.25">
      <c r="A20" s="4" t="s">
        <v>829</v>
      </c>
      <c r="B20" s="4" t="s">
        <v>830</v>
      </c>
      <c r="C20" s="4" t="s">
        <v>831</v>
      </c>
      <c r="D20" s="7">
        <v>18</v>
      </c>
      <c r="E20" s="4" t="s">
        <v>129</v>
      </c>
      <c r="F20" s="4" t="s">
        <v>131</v>
      </c>
      <c r="G20" s="4" t="s">
        <v>58</v>
      </c>
      <c r="H20" s="4" t="s">
        <v>10</v>
      </c>
      <c r="I20" s="1">
        <v>3</v>
      </c>
      <c r="J20" s="1">
        <v>4</v>
      </c>
      <c r="K20" s="1">
        <f>Tableau1434567[[#This Row],[Fréquence]]*Tableau1434567[[#This Row],[Gravité]]</f>
        <v>12</v>
      </c>
      <c r="L20" s="4" t="s">
        <v>938</v>
      </c>
      <c r="M20" s="1">
        <v>0.75</v>
      </c>
      <c r="N20" s="5">
        <f>Tableau1434567[[#This Row],[Priorité initiale]]*Tableau1434567[[#This Row],[Moyen de Maitrise]]</f>
        <v>9</v>
      </c>
      <c r="O20" s="17" t="str">
        <f>IF(AND(N20&gt;=0,N20&lt;4),"P3",IF(AND(N20&gt;=4,N20&lt;=8),"P2",IF(N20&gt;8,"P1","")))</f>
        <v>P1</v>
      </c>
      <c r="P20" s="4" t="s">
        <v>939</v>
      </c>
    </row>
    <row r="21" spans="1:20" ht="195" x14ac:dyDescent="0.25">
      <c r="A21" s="4" t="s">
        <v>854</v>
      </c>
      <c r="B21" s="4" t="s">
        <v>855</v>
      </c>
      <c r="C21" s="4" t="s">
        <v>864</v>
      </c>
      <c r="D21" s="7">
        <v>30</v>
      </c>
      <c r="E21" s="4" t="s">
        <v>60</v>
      </c>
      <c r="F21" s="4" t="s">
        <v>59</v>
      </c>
      <c r="G21" s="4" t="s">
        <v>806</v>
      </c>
      <c r="H21" s="6" t="s">
        <v>857</v>
      </c>
      <c r="I21" s="1">
        <v>4</v>
      </c>
      <c r="J21" s="1">
        <v>3</v>
      </c>
      <c r="K21" s="1">
        <f>Tableau1434567[[#This Row],[Fréquence]]*Tableau1434567[[#This Row],[Gravité]]</f>
        <v>12</v>
      </c>
      <c r="L21" s="4" t="s">
        <v>974</v>
      </c>
      <c r="M21" s="1">
        <v>1</v>
      </c>
      <c r="N21" s="5">
        <f>Tableau1434567[[#This Row],[Priorité initiale]]*Tableau1434567[[#This Row],[Moyen de Maitrise]]</f>
        <v>12</v>
      </c>
      <c r="O21" s="17" t="str">
        <f>IF(AND(N21&gt;=0,N21&lt;4),"P3",IF(AND(N21&gt;=4,N21&lt;=8),"P2",IF(N21&gt;8,"P1","")))</f>
        <v>P1</v>
      </c>
      <c r="P21" s="4" t="s">
        <v>975</v>
      </c>
    </row>
    <row r="22" spans="1:20" ht="150" x14ac:dyDescent="0.25">
      <c r="A22" s="4" t="s">
        <v>832</v>
      </c>
      <c r="B22" s="4" t="s">
        <v>833</v>
      </c>
      <c r="C22" s="4" t="s">
        <v>834</v>
      </c>
      <c r="D22" s="7">
        <v>30</v>
      </c>
      <c r="E22" s="4" t="s">
        <v>60</v>
      </c>
      <c r="F22" s="4" t="s">
        <v>59</v>
      </c>
      <c r="G22" s="4" t="s">
        <v>58</v>
      </c>
      <c r="H22" s="6" t="s">
        <v>838</v>
      </c>
      <c r="I22" s="1">
        <v>4</v>
      </c>
      <c r="J22" s="1">
        <v>3</v>
      </c>
      <c r="K22" s="1">
        <f>Tableau1434567[[#This Row],[Fréquence]]*Tableau1434567[[#This Row],[Gravité]]</f>
        <v>12</v>
      </c>
      <c r="L22" s="4" t="s">
        <v>977</v>
      </c>
      <c r="M22" s="1">
        <v>0.75</v>
      </c>
      <c r="N22" s="5">
        <f>Tableau1434567[[#This Row],[Priorité initiale]]*Tableau1434567[[#This Row],[Moyen de Maitrise]]</f>
        <v>9</v>
      </c>
      <c r="O22" s="17" t="str">
        <f>IF(AND(N22&gt;=0,N22&lt;4),"P3",IF(AND(N22&gt;=4,N22&lt;=8),"P2",IF(N22&gt;8,"P1","")))</f>
        <v>P1</v>
      </c>
      <c r="P22" s="4" t="s">
        <v>978</v>
      </c>
    </row>
    <row r="23" spans="1:20" ht="105" x14ac:dyDescent="0.25">
      <c r="A23" s="4" t="s">
        <v>829</v>
      </c>
      <c r="B23" s="4" t="s">
        <v>830</v>
      </c>
      <c r="C23" s="4" t="s">
        <v>831</v>
      </c>
      <c r="D23" s="7">
        <v>31</v>
      </c>
      <c r="E23" s="4" t="s">
        <v>52</v>
      </c>
      <c r="F23" s="4" t="s">
        <v>51</v>
      </c>
      <c r="G23" s="4" t="s">
        <v>979</v>
      </c>
      <c r="H23" s="6" t="s">
        <v>10</v>
      </c>
      <c r="I23" s="1">
        <v>3</v>
      </c>
      <c r="J23" s="1">
        <v>4</v>
      </c>
      <c r="K23" s="1">
        <f>Tableau1434567[[#This Row],[Fréquence]]*Tableau1434567[[#This Row],[Gravité]]</f>
        <v>12</v>
      </c>
      <c r="L23" s="4" t="s">
        <v>980</v>
      </c>
      <c r="M23" s="1">
        <v>0.75</v>
      </c>
      <c r="N23" s="5">
        <f>Tableau1434567[[#This Row],[Priorité initiale]]*Tableau1434567[[#This Row],[Moyen de Maitrise]]</f>
        <v>9</v>
      </c>
      <c r="O23" s="17" t="str">
        <f>IF(AND(N23&gt;=0,N23&lt;4),"P3",IF(AND(N23&gt;=4,N23&lt;=8),"P2",IF(N23&gt;8,"P1","")))</f>
        <v>P1</v>
      </c>
      <c r="P23" s="4" t="s">
        <v>981</v>
      </c>
    </row>
    <row r="24" spans="1:20" ht="75" x14ac:dyDescent="0.25">
      <c r="A24" s="4" t="s">
        <v>832</v>
      </c>
      <c r="B24" s="4" t="s">
        <v>833</v>
      </c>
      <c r="C24" s="4" t="s">
        <v>834</v>
      </c>
      <c r="D24" s="7">
        <v>2</v>
      </c>
      <c r="E24" s="4" t="s">
        <v>762</v>
      </c>
      <c r="F24" s="4" t="s">
        <v>1003</v>
      </c>
      <c r="G24" s="4" t="s">
        <v>1004</v>
      </c>
      <c r="H24" s="6" t="s">
        <v>838</v>
      </c>
      <c r="I24" s="1">
        <v>4</v>
      </c>
      <c r="J24" s="1">
        <v>3</v>
      </c>
      <c r="K24" s="1">
        <f>Tableau1434567[[#This Row],[Fréquence]]*Tableau1434567[[#This Row],[Gravité]]</f>
        <v>12</v>
      </c>
      <c r="L24" s="4" t="s">
        <v>1005</v>
      </c>
      <c r="M24" s="1">
        <v>0.75</v>
      </c>
      <c r="N24" s="5">
        <f>Tableau1434567[[#This Row],[Priorité initiale]]*Tableau1434567[[#This Row],[Moyen de Maitrise]]</f>
        <v>9</v>
      </c>
      <c r="O24" s="17" t="str">
        <f>IF(AND(N24&gt;=0,N24&lt;4),"P3",IF(AND(N24&gt;=4,N24&lt;=8),"P2",IF(N24&gt;8,"P1","")))</f>
        <v>P1</v>
      </c>
      <c r="P24" s="4" t="s">
        <v>1006</v>
      </c>
    </row>
    <row r="25" spans="1:20" ht="225" x14ac:dyDescent="0.25">
      <c r="A25" s="10" t="s">
        <v>490</v>
      </c>
      <c r="B25" s="10" t="s">
        <v>491</v>
      </c>
      <c r="C25" s="10" t="s">
        <v>500</v>
      </c>
      <c r="D25" s="15">
        <v>1</v>
      </c>
      <c r="E25" s="10" t="s">
        <v>246</v>
      </c>
      <c r="F25" s="10" t="s">
        <v>245</v>
      </c>
      <c r="G25" s="4" t="s">
        <v>244</v>
      </c>
      <c r="H25" s="6" t="s">
        <v>493</v>
      </c>
      <c r="I25" s="1">
        <v>1</v>
      </c>
      <c r="J25" s="1">
        <v>4</v>
      </c>
      <c r="K25" s="16">
        <f>Tableau1434567[[#This Row],[Fréquence]]*Tableau1434567[[#This Row],[Gravité]]</f>
        <v>4</v>
      </c>
      <c r="L25" s="6" t="s">
        <v>248</v>
      </c>
      <c r="M25" s="1">
        <v>1</v>
      </c>
      <c r="N25" s="2">
        <f>Tableau1434567[[#This Row],[Moyen de Maitrise]]*Tableau1434567[[#This Row],[Priorité initiale]]</f>
        <v>4</v>
      </c>
      <c r="O25" s="17" t="str">
        <f>IF(AND(N25&gt;=0,N25&lt;4),"P3",IF(AND(N25&gt;=4,N25&lt;=8),"P2",IF(N25&gt;8,"P1","")))</f>
        <v>P2</v>
      </c>
      <c r="P25" s="10" t="s">
        <v>546</v>
      </c>
      <c r="S25" s="14">
        <v>45928</v>
      </c>
    </row>
    <row r="26" spans="1:20" ht="225" x14ac:dyDescent="0.25">
      <c r="A26" s="10" t="s">
        <v>614</v>
      </c>
      <c r="B26" s="10" t="s">
        <v>615</v>
      </c>
      <c r="C26" s="10" t="s">
        <v>616</v>
      </c>
      <c r="D26" s="15">
        <v>1</v>
      </c>
      <c r="E26" s="10" t="s">
        <v>246</v>
      </c>
      <c r="F26" s="10" t="s">
        <v>245</v>
      </c>
      <c r="G26" s="4" t="s">
        <v>244</v>
      </c>
      <c r="H26" s="6" t="s">
        <v>617</v>
      </c>
      <c r="I26" s="1">
        <v>1</v>
      </c>
      <c r="J26" s="1">
        <v>4</v>
      </c>
      <c r="K26" s="16">
        <f>Tableau1434567[[#This Row],[Fréquence]]*Tableau1434567[[#This Row],[Gravité]]</f>
        <v>4</v>
      </c>
      <c r="L26" s="6" t="s">
        <v>666</v>
      </c>
      <c r="M26" s="1">
        <v>1</v>
      </c>
      <c r="N26" s="2">
        <f>Tableau1434567[[#This Row],[Moyen de Maitrise]]*Tableau1434567[[#This Row],[Priorité initiale]]</f>
        <v>4</v>
      </c>
      <c r="O26" s="17" t="str">
        <f>IF(AND(N26&gt;=0,N26&lt;4),"P3",IF(AND(N26&gt;=4,N26&lt;=8),"P2",IF(N26&gt;8,"P1","")))</f>
        <v>P2</v>
      </c>
      <c r="P26" s="10" t="s">
        <v>667</v>
      </c>
      <c r="R26" s="14"/>
      <c r="S26" s="6"/>
    </row>
    <row r="27" spans="1:20" ht="285" x14ac:dyDescent="0.25">
      <c r="A27" s="10" t="s">
        <v>614</v>
      </c>
      <c r="B27" s="10" t="s">
        <v>741</v>
      </c>
      <c r="C27" s="10" t="s">
        <v>742</v>
      </c>
      <c r="D27" s="15">
        <v>1</v>
      </c>
      <c r="E27" s="10" t="s">
        <v>246</v>
      </c>
      <c r="F27" s="10" t="s">
        <v>245</v>
      </c>
      <c r="G27" s="33" t="s">
        <v>244</v>
      </c>
      <c r="H27" s="35" t="s">
        <v>743</v>
      </c>
      <c r="I27" s="37">
        <v>1</v>
      </c>
      <c r="J27" s="37">
        <v>4</v>
      </c>
      <c r="K27" s="16">
        <f>Tableau1434567[[#This Row],[Fréquence]]*Tableau1434567[[#This Row],[Gravité]]</f>
        <v>4</v>
      </c>
      <c r="L27" s="35" t="s">
        <v>746</v>
      </c>
      <c r="M27" s="37">
        <v>1</v>
      </c>
      <c r="N27" s="2">
        <f>Tableau1434567[[#This Row],[Moyen de Maitrise]]*Tableau1434567[[#This Row],[Priorité initiale]]</f>
        <v>4</v>
      </c>
      <c r="O27" s="17" t="str">
        <f>IF(AND(N27&gt;=0,N27&lt;4),"P3",IF(AND(N27&gt;=4,N27&lt;=8),"P2",IF(N27&gt;8,"P1","")))</f>
        <v>P2</v>
      </c>
      <c r="P27" s="10" t="s">
        <v>747</v>
      </c>
      <c r="Q27" s="37"/>
      <c r="R27" s="37"/>
      <c r="S27" s="45">
        <v>45600</v>
      </c>
      <c r="T27" s="35"/>
    </row>
    <row r="28" spans="1:20" ht="60" x14ac:dyDescent="0.25">
      <c r="A28" s="10" t="s">
        <v>751</v>
      </c>
      <c r="B28" s="10" t="s">
        <v>752</v>
      </c>
      <c r="C28" s="10" t="s">
        <v>753</v>
      </c>
      <c r="D28" s="15">
        <v>2</v>
      </c>
      <c r="E28" s="10" t="s">
        <v>762</v>
      </c>
      <c r="F28" s="10" t="s">
        <v>763</v>
      </c>
      <c r="G28" s="33" t="s">
        <v>235</v>
      </c>
      <c r="H28" s="35" t="s">
        <v>755</v>
      </c>
      <c r="I28" s="37">
        <v>1</v>
      </c>
      <c r="J28" s="37">
        <v>4</v>
      </c>
      <c r="K28" s="39">
        <f>I28*J28</f>
        <v>4</v>
      </c>
      <c r="L28" s="35" t="s">
        <v>234</v>
      </c>
      <c r="M28" s="37">
        <v>1</v>
      </c>
      <c r="N28" s="41">
        <f>K28*M28</f>
        <v>4</v>
      </c>
      <c r="O28" s="17" t="str">
        <f>IF(AND(N28&gt;=0,N28&lt;4),"P3",IF(AND(N28&gt;=4,N28&lt;=8),"P2",IF(N28&gt;8,"P1","")))</f>
        <v>P2</v>
      </c>
      <c r="P28" s="10" t="s">
        <v>764</v>
      </c>
      <c r="Q28" s="43">
        <v>46090</v>
      </c>
      <c r="R28" s="37"/>
      <c r="S28" s="45">
        <v>45212</v>
      </c>
      <c r="T28" s="37"/>
    </row>
    <row r="29" spans="1:20" ht="150" x14ac:dyDescent="0.25">
      <c r="A29" s="10" t="s">
        <v>305</v>
      </c>
      <c r="B29" s="10" t="s">
        <v>306</v>
      </c>
      <c r="C29" s="10" t="s">
        <v>307</v>
      </c>
      <c r="D29" s="15">
        <v>2</v>
      </c>
      <c r="E29" s="10" t="s">
        <v>762</v>
      </c>
      <c r="F29" s="10" t="s">
        <v>818</v>
      </c>
      <c r="G29" s="4" t="s">
        <v>17</v>
      </c>
      <c r="H29" s="6" t="s">
        <v>308</v>
      </c>
      <c r="I29" s="1">
        <v>2</v>
      </c>
      <c r="J29" s="1">
        <v>3</v>
      </c>
      <c r="K29" s="16">
        <f>Tableau1434567[[#This Row],[Fréquence]]*Tableau1434567[[#This Row],[Gravité]]</f>
        <v>6</v>
      </c>
      <c r="L29" s="6" t="s">
        <v>460</v>
      </c>
      <c r="M29" s="1">
        <v>0.75</v>
      </c>
      <c r="N29" s="2">
        <f>Tableau1434567[[#This Row],[Priorité initiale]]*Tableau1434567[[#This Row],[Moyen de Maitrise]]</f>
        <v>4.5</v>
      </c>
      <c r="O29" s="17" t="str">
        <f>IF(AND(N29&gt;=0,N29&lt;4),"P3",IF(AND(N29&gt;=4,N29&lt;=8),"P2",IF(N29&gt;8,"P1","")))</f>
        <v>P2</v>
      </c>
      <c r="P29" s="10"/>
      <c r="R29" s="14"/>
    </row>
    <row r="30" spans="1:20" ht="315" x14ac:dyDescent="0.25">
      <c r="A30" s="10" t="s">
        <v>490</v>
      </c>
      <c r="B30" s="10" t="s">
        <v>491</v>
      </c>
      <c r="C30" s="10" t="s">
        <v>492</v>
      </c>
      <c r="D30" s="15">
        <v>2</v>
      </c>
      <c r="E30" s="10" t="s">
        <v>762</v>
      </c>
      <c r="F30" s="10" t="s">
        <v>818</v>
      </c>
      <c r="G30" s="4" t="s">
        <v>17</v>
      </c>
      <c r="H30" s="6" t="s">
        <v>493</v>
      </c>
      <c r="I30" s="1">
        <v>2</v>
      </c>
      <c r="J30" s="1">
        <v>3</v>
      </c>
      <c r="K30" s="16">
        <f>Tableau1434567[[#This Row],[Fréquence]]*Tableau1434567[[#This Row],[Gravité]]</f>
        <v>6</v>
      </c>
      <c r="L30" s="6" t="s">
        <v>543</v>
      </c>
      <c r="M30" s="1">
        <v>0.75</v>
      </c>
      <c r="N30" s="2">
        <f>Tableau1434567[[#This Row],[Moyen de Maitrise]]*Tableau1434567[[#This Row],[Priorité initiale]]</f>
        <v>4.5</v>
      </c>
      <c r="O30" s="17" t="str">
        <f>IF(AND(N30&gt;=0,N30&lt;4),"P3",IF(AND(N30&gt;=4,N30&lt;=8),"P2",IF(N30&gt;8,"P1","")))</f>
        <v>P2</v>
      </c>
      <c r="P30" s="10" t="s">
        <v>19</v>
      </c>
      <c r="S30" s="14"/>
    </row>
    <row r="31" spans="1:20" ht="315" x14ac:dyDescent="0.25">
      <c r="A31" s="10" t="s">
        <v>614</v>
      </c>
      <c r="B31" s="10" t="s">
        <v>615</v>
      </c>
      <c r="C31" s="10" t="s">
        <v>616</v>
      </c>
      <c r="D31" s="15">
        <v>2</v>
      </c>
      <c r="E31" s="10" t="s">
        <v>762</v>
      </c>
      <c r="F31" s="10" t="s">
        <v>818</v>
      </c>
      <c r="G31" s="4" t="s">
        <v>17</v>
      </c>
      <c r="H31" s="6" t="s">
        <v>617</v>
      </c>
      <c r="I31" s="1">
        <v>2</v>
      </c>
      <c r="J31" s="1">
        <v>3</v>
      </c>
      <c r="K31" s="16">
        <f>Tableau1434567[[#This Row],[Fréquence]]*Tableau1434567[[#This Row],[Gravité]]</f>
        <v>6</v>
      </c>
      <c r="L31" s="6" t="s">
        <v>646</v>
      </c>
      <c r="M31" s="1">
        <v>0.75</v>
      </c>
      <c r="N31" s="2">
        <f>Tableau1434567[[#This Row],[Moyen de Maitrise]]*Tableau1434567[[#This Row],[Priorité initiale]]</f>
        <v>4.5</v>
      </c>
      <c r="O31" s="17" t="str">
        <f>IF(AND(N31&gt;=0,N31&lt;4),"P3",IF(AND(N31&gt;=4,N31&lt;=8),"P2",IF(N31&gt;8,"P1","")))</f>
        <v>P2</v>
      </c>
      <c r="P31" s="10" t="s">
        <v>19</v>
      </c>
      <c r="R31" s="14"/>
    </row>
    <row r="32" spans="1:20" ht="60" x14ac:dyDescent="0.25">
      <c r="A32" s="10" t="s">
        <v>614</v>
      </c>
      <c r="B32" s="10" t="s">
        <v>615</v>
      </c>
      <c r="C32" s="10" t="s">
        <v>616</v>
      </c>
      <c r="D32" s="15">
        <v>2</v>
      </c>
      <c r="E32" s="10" t="s">
        <v>762</v>
      </c>
      <c r="F32" s="10" t="s">
        <v>647</v>
      </c>
      <c r="G32" s="4" t="s">
        <v>648</v>
      </c>
      <c r="H32" s="6" t="s">
        <v>617</v>
      </c>
      <c r="I32" s="1">
        <v>2</v>
      </c>
      <c r="J32" s="1">
        <v>3</v>
      </c>
      <c r="K32" s="16">
        <f>Tableau1434567[[#This Row],[Fréquence]]*Tableau1434567[[#This Row],[Gravité]]</f>
        <v>6</v>
      </c>
      <c r="L32" s="6" t="s">
        <v>649</v>
      </c>
      <c r="M32" s="1">
        <v>0.75</v>
      </c>
      <c r="N32" s="2">
        <f>Tableau1434567[[#This Row],[Moyen de Maitrise]]*Tableau1434567[[#This Row],[Priorité initiale]]</f>
        <v>4.5</v>
      </c>
      <c r="O32" s="17" t="str">
        <f>IF(AND(N32&gt;=0,N32&lt;4),"P3",IF(AND(N32&gt;=4,N32&lt;=8),"P2",IF(N32&gt;8,"P1","")))</f>
        <v>P2</v>
      </c>
      <c r="P32" s="10"/>
      <c r="R32" s="14"/>
    </row>
    <row r="33" spans="1:20" ht="204.75" customHeight="1" x14ac:dyDescent="0.25">
      <c r="A33" s="10" t="s">
        <v>751</v>
      </c>
      <c r="B33" s="10" t="s">
        <v>752</v>
      </c>
      <c r="C33" s="10" t="s">
        <v>753</v>
      </c>
      <c r="D33" s="15">
        <v>2</v>
      </c>
      <c r="E33" s="10" t="s">
        <v>762</v>
      </c>
      <c r="F33" s="10" t="s">
        <v>818</v>
      </c>
      <c r="G33" s="33" t="s">
        <v>17</v>
      </c>
      <c r="H33" s="35" t="s">
        <v>755</v>
      </c>
      <c r="I33" s="37">
        <v>2</v>
      </c>
      <c r="J33" s="37">
        <v>4</v>
      </c>
      <c r="K33" s="39">
        <f>I33*J33</f>
        <v>8</v>
      </c>
      <c r="L33" s="35" t="s">
        <v>768</v>
      </c>
      <c r="M33" s="37">
        <v>0.5</v>
      </c>
      <c r="N33" s="41">
        <f>K33*M33</f>
        <v>4</v>
      </c>
      <c r="O33" s="17" t="str">
        <f>IF(AND(N33&gt;=0,N33&lt;4),"P3",IF(AND(N33&gt;=4,N33&lt;=8),"P2",IF(N33&gt;8,"P1","")))</f>
        <v>P2</v>
      </c>
      <c r="P33" s="10" t="s">
        <v>769</v>
      </c>
      <c r="Q33" s="43">
        <v>46090</v>
      </c>
      <c r="R33" s="37"/>
      <c r="S33" s="45"/>
      <c r="T33" s="37"/>
    </row>
    <row r="34" spans="1:20" ht="60" x14ac:dyDescent="0.25">
      <c r="A34" s="10" t="s">
        <v>305</v>
      </c>
      <c r="B34" s="10" t="s">
        <v>306</v>
      </c>
      <c r="C34" s="10" t="s">
        <v>307</v>
      </c>
      <c r="D34" s="15">
        <v>2</v>
      </c>
      <c r="E34" s="10" t="s">
        <v>762</v>
      </c>
      <c r="F34" s="4" t="s">
        <v>819</v>
      </c>
      <c r="G34" s="4" t="s">
        <v>23</v>
      </c>
      <c r="H34" s="6" t="s">
        <v>308</v>
      </c>
      <c r="I34" s="1">
        <v>2</v>
      </c>
      <c r="J34" s="1">
        <v>4</v>
      </c>
      <c r="K34" s="16">
        <f>Tableau1434567[[#This Row],[Fréquence]]*Tableau1434567[[#This Row],[Gravité]]</f>
        <v>8</v>
      </c>
      <c r="L34" s="6" t="s">
        <v>461</v>
      </c>
      <c r="M34" s="1">
        <v>0.5</v>
      </c>
      <c r="N34" s="2">
        <f>Tableau1434567[[#This Row],[Priorité initiale]]*Tableau1434567[[#This Row],[Moyen de Maitrise]]</f>
        <v>4</v>
      </c>
      <c r="O34" s="17" t="str">
        <f>IF(AND(N34&gt;=0,N34&lt;4),"P3",IF(AND(N34&gt;=4,N34&lt;=8),"P2",IF(N34&gt;8,"P1","")))</f>
        <v>P2</v>
      </c>
      <c r="P34" s="10"/>
      <c r="R34" s="14"/>
    </row>
    <row r="35" spans="1:20" ht="75" x14ac:dyDescent="0.25">
      <c r="A35" s="10" t="s">
        <v>305</v>
      </c>
      <c r="B35" s="10" t="s">
        <v>306</v>
      </c>
      <c r="C35" s="10" t="s">
        <v>307</v>
      </c>
      <c r="D35" s="15">
        <v>2</v>
      </c>
      <c r="E35" s="10" t="s">
        <v>762</v>
      </c>
      <c r="F35" s="4" t="s">
        <v>820</v>
      </c>
      <c r="G35" s="4" t="s">
        <v>20</v>
      </c>
      <c r="H35" s="6" t="s">
        <v>308</v>
      </c>
      <c r="I35" s="1">
        <v>3</v>
      </c>
      <c r="J35" s="1">
        <v>4</v>
      </c>
      <c r="K35" s="16">
        <f>Tableau1434567[[#This Row],[Fréquence]]*Tableau1434567[[#This Row],[Gravité]]</f>
        <v>12</v>
      </c>
      <c r="L35" s="6" t="s">
        <v>459</v>
      </c>
      <c r="M35" s="1">
        <v>0.5</v>
      </c>
      <c r="N35" s="2">
        <f>Tableau1434567[[#This Row],[Priorité initiale]]*Tableau1434567[[#This Row],[Moyen de Maitrise]]</f>
        <v>6</v>
      </c>
      <c r="O35" s="17" t="str">
        <f>IF(AND(N35&gt;=0,N35&lt;4),"P3",IF(AND(N35&gt;=4,N35&lt;=8),"P2",IF(N35&gt;8,"P1","")))</f>
        <v>P2</v>
      </c>
      <c r="P35" s="10"/>
      <c r="R35" s="14"/>
    </row>
    <row r="36" spans="1:20" ht="180" x14ac:dyDescent="0.25">
      <c r="A36" s="10" t="s">
        <v>490</v>
      </c>
      <c r="B36" s="10" t="s">
        <v>491</v>
      </c>
      <c r="C36" s="10" t="s">
        <v>492</v>
      </c>
      <c r="D36" s="15">
        <v>2</v>
      </c>
      <c r="E36" s="10" t="s">
        <v>762</v>
      </c>
      <c r="F36" s="4" t="s">
        <v>820</v>
      </c>
      <c r="G36" s="4" t="s">
        <v>20</v>
      </c>
      <c r="H36" s="6" t="s">
        <v>493</v>
      </c>
      <c r="I36" s="1">
        <v>2</v>
      </c>
      <c r="J36" s="1">
        <v>4</v>
      </c>
      <c r="K36" s="16">
        <f>Tableau1434567[[#This Row],[Fréquence]]*Tableau1434567[[#This Row],[Gravité]]</f>
        <v>8</v>
      </c>
      <c r="L36" s="6" t="s">
        <v>505</v>
      </c>
      <c r="M36" s="1">
        <v>0.75</v>
      </c>
      <c r="N36" s="2">
        <f>Tableau1434567[[#This Row],[Moyen de Maitrise]]*Tableau1434567[[#This Row],[Priorité initiale]]</f>
        <v>6</v>
      </c>
      <c r="O36" s="17" t="str">
        <f>IF(AND(N36&gt;=0,N36&lt;4),"P3",IF(AND(N36&gt;=4,N36&lt;=8),"P2",IF(N36&gt;8,"P1","")))</f>
        <v>P2</v>
      </c>
      <c r="P36" s="10" t="s">
        <v>506</v>
      </c>
      <c r="R36" s="9">
        <v>46090</v>
      </c>
      <c r="S36" s="14"/>
    </row>
    <row r="37" spans="1:20" ht="120" x14ac:dyDescent="0.25">
      <c r="A37" s="10" t="s">
        <v>614</v>
      </c>
      <c r="B37" s="10" t="s">
        <v>615</v>
      </c>
      <c r="C37" s="10" t="s">
        <v>633</v>
      </c>
      <c r="D37" s="15">
        <v>2</v>
      </c>
      <c r="E37" s="10" t="s">
        <v>762</v>
      </c>
      <c r="F37" s="4" t="s">
        <v>820</v>
      </c>
      <c r="G37" s="4" t="s">
        <v>20</v>
      </c>
      <c r="H37" s="6" t="s">
        <v>617</v>
      </c>
      <c r="I37" s="1">
        <v>1</v>
      </c>
      <c r="J37" s="1">
        <v>4</v>
      </c>
      <c r="K37" s="16">
        <f>Tableau1434567[[#This Row],[Fréquence]]*Tableau1434567[[#This Row],[Gravité]]</f>
        <v>4</v>
      </c>
      <c r="L37" s="6"/>
      <c r="M37" s="1">
        <v>1</v>
      </c>
      <c r="N37" s="2">
        <f>Tableau1434567[[#This Row],[Moyen de Maitrise]]*Tableau1434567[[#This Row],[Priorité initiale]]</f>
        <v>4</v>
      </c>
      <c r="O37" s="17" t="str">
        <f>IF(AND(N37&gt;=0,N37&lt;4),"P3",IF(AND(N37&gt;=4,N37&lt;=8),"P2",IF(N37&gt;8,"P1","")))</f>
        <v>P2</v>
      </c>
      <c r="P37" s="10" t="s">
        <v>658</v>
      </c>
      <c r="R37" s="14">
        <v>45354</v>
      </c>
    </row>
    <row r="38" spans="1:20" ht="120" x14ac:dyDescent="0.25">
      <c r="A38" s="10" t="s">
        <v>751</v>
      </c>
      <c r="B38" s="10" t="s">
        <v>752</v>
      </c>
      <c r="C38" s="10" t="s">
        <v>753</v>
      </c>
      <c r="D38" s="15">
        <v>2</v>
      </c>
      <c r="E38" s="10" t="s">
        <v>762</v>
      </c>
      <c r="F38" s="10" t="s">
        <v>765</v>
      </c>
      <c r="G38" s="34" t="s">
        <v>766</v>
      </c>
      <c r="H38" s="36" t="s">
        <v>755</v>
      </c>
      <c r="I38" s="38">
        <v>2</v>
      </c>
      <c r="J38" s="38">
        <v>4</v>
      </c>
      <c r="K38" s="39">
        <f>I38*J38</f>
        <v>8</v>
      </c>
      <c r="L38" s="36" t="s">
        <v>767</v>
      </c>
      <c r="M38" s="38">
        <v>0.5</v>
      </c>
      <c r="N38" s="41">
        <f>K38*M38</f>
        <v>4</v>
      </c>
      <c r="O38" s="17" t="str">
        <f>IF(AND(N38&gt;=0,N38&lt;4),"P3",IF(AND(N38&gt;=4,N38&lt;=8),"P2",IF(N38&gt;8,"P1","")))</f>
        <v>P2</v>
      </c>
      <c r="P38" s="10"/>
      <c r="Q38" s="44">
        <v>46090</v>
      </c>
      <c r="R38" s="38"/>
      <c r="S38" s="38"/>
      <c r="T38" s="38"/>
    </row>
    <row r="39" spans="1:20" ht="30" x14ac:dyDescent="0.25">
      <c r="A39" s="10" t="s">
        <v>305</v>
      </c>
      <c r="B39" s="10" t="s">
        <v>306</v>
      </c>
      <c r="C39" s="10" t="s">
        <v>307</v>
      </c>
      <c r="D39" s="15">
        <v>2</v>
      </c>
      <c r="E39" s="10" t="s">
        <v>762</v>
      </c>
      <c r="F39" s="10" t="s">
        <v>22</v>
      </c>
      <c r="G39" s="33" t="s">
        <v>21</v>
      </c>
      <c r="H39" s="35" t="s">
        <v>308</v>
      </c>
      <c r="I39" s="37">
        <v>2</v>
      </c>
      <c r="J39" s="37">
        <v>4</v>
      </c>
      <c r="K39" s="47">
        <f>Tableau1434567[[#This Row],[Fréquence]]*Tableau1434567[[#This Row],[Gravité]]</f>
        <v>8</v>
      </c>
      <c r="L39" s="35" t="s">
        <v>462</v>
      </c>
      <c r="M39" s="37">
        <v>0.5</v>
      </c>
      <c r="N39" s="48">
        <f>Tableau1434567[[#This Row],[Priorité initiale]]*Tableau1434567[[#This Row],[Moyen de Maitrise]]</f>
        <v>4</v>
      </c>
      <c r="O39" s="17" t="str">
        <f>IF(AND(N39&gt;=0,N39&lt;4),"P3",IF(AND(N39&gt;=4,N39&lt;=8),"P2",IF(N39&gt;8,"P1","")))</f>
        <v>P2</v>
      </c>
      <c r="P39" s="10"/>
      <c r="Q39" s="37"/>
      <c r="R39" s="37"/>
      <c r="S39" s="37"/>
      <c r="T39" s="37"/>
    </row>
    <row r="40" spans="1:20" ht="45" x14ac:dyDescent="0.25">
      <c r="A40" s="10" t="s">
        <v>305</v>
      </c>
      <c r="B40" s="10" t="s">
        <v>306</v>
      </c>
      <c r="C40" s="10" t="s">
        <v>307</v>
      </c>
      <c r="D40" s="15">
        <v>3</v>
      </c>
      <c r="E40" s="10" t="s">
        <v>232</v>
      </c>
      <c r="F40" s="10" t="s">
        <v>315</v>
      </c>
      <c r="G40" s="4" t="s">
        <v>316</v>
      </c>
      <c r="H40" s="6" t="s">
        <v>308</v>
      </c>
      <c r="I40" s="1">
        <v>2</v>
      </c>
      <c r="J40" s="1">
        <v>4</v>
      </c>
      <c r="K40" s="16">
        <f>Tableau1434567[[#This Row],[Fréquence]]*Tableau1434567[[#This Row],[Gravité]]</f>
        <v>8</v>
      </c>
      <c r="L40" s="6" t="s">
        <v>317</v>
      </c>
      <c r="M40" s="1">
        <v>1</v>
      </c>
      <c r="N40" s="2">
        <f>Tableau1434567[[#This Row],[Moyen de Maitrise]]*Tableau1434567[[#This Row],[Priorité initiale]]</f>
        <v>8</v>
      </c>
      <c r="O40" s="17" t="str">
        <f>IF(AND(N40&gt;=0,N40&lt;4),"P3",IF(AND(N40&gt;=4,N40&lt;=8),"P2",IF(N40&gt;8,"P1","")))</f>
        <v>P2</v>
      </c>
      <c r="P40" s="10" t="s">
        <v>318</v>
      </c>
    </row>
    <row r="41" spans="1:20" ht="135" x14ac:dyDescent="0.25">
      <c r="A41" s="10" t="s">
        <v>490</v>
      </c>
      <c r="B41" s="10" t="s">
        <v>491</v>
      </c>
      <c r="C41" s="10" t="s">
        <v>492</v>
      </c>
      <c r="D41" s="15">
        <v>3</v>
      </c>
      <c r="E41" s="10" t="s">
        <v>232</v>
      </c>
      <c r="F41" s="10" t="s">
        <v>238</v>
      </c>
      <c r="G41" s="4" t="s">
        <v>237</v>
      </c>
      <c r="H41" s="6" t="s">
        <v>493</v>
      </c>
      <c r="I41" s="1">
        <v>2</v>
      </c>
      <c r="J41" s="1">
        <v>3</v>
      </c>
      <c r="K41" s="16">
        <f>Tableau1434567[[#This Row],[Fréquence]]*Tableau1434567[[#This Row],[Gravité]]</f>
        <v>6</v>
      </c>
      <c r="L41" s="6" t="s">
        <v>529</v>
      </c>
      <c r="M41" s="1">
        <v>0.75</v>
      </c>
      <c r="N41" s="2">
        <f>Tableau1434567[[#This Row],[Moyen de Maitrise]]*Tableau1434567[[#This Row],[Priorité initiale]]</f>
        <v>4.5</v>
      </c>
      <c r="O41" s="17" t="str">
        <f>IF(AND(N41&gt;=0,N41&lt;4),"P3",IF(AND(N41&gt;=4,N41&lt;=8),"P2",IF(N41&gt;8,"P1","")))</f>
        <v>P2</v>
      </c>
      <c r="P41" s="10" t="s">
        <v>530</v>
      </c>
      <c r="S41" s="14"/>
    </row>
    <row r="42" spans="1:20" ht="75" x14ac:dyDescent="0.25">
      <c r="A42" s="10" t="s">
        <v>490</v>
      </c>
      <c r="B42" s="10" t="s">
        <v>491</v>
      </c>
      <c r="C42" s="10" t="s">
        <v>492</v>
      </c>
      <c r="D42" s="15">
        <v>3</v>
      </c>
      <c r="E42" s="10" t="s">
        <v>232</v>
      </c>
      <c r="F42" s="4" t="s">
        <v>236</v>
      </c>
      <c r="G42" s="4" t="s">
        <v>235</v>
      </c>
      <c r="H42" s="6" t="s">
        <v>493</v>
      </c>
      <c r="I42" s="1">
        <v>1</v>
      </c>
      <c r="J42" s="1">
        <v>4</v>
      </c>
      <c r="K42" s="16">
        <f>Tableau1434567[[#This Row],[Fréquence]]*Tableau1434567[[#This Row],[Gravité]]</f>
        <v>4</v>
      </c>
      <c r="L42" s="6" t="s">
        <v>6</v>
      </c>
      <c r="M42" s="1">
        <v>1</v>
      </c>
      <c r="N42" s="2">
        <f>Tableau1434567[[#This Row],[Moyen de Maitrise]]*Tableau1434567[[#This Row],[Priorité initiale]]</f>
        <v>4</v>
      </c>
      <c r="O42" s="17" t="str">
        <f>IF(AND(N42&gt;=0,N42&lt;4),"P3",IF(AND(N42&gt;=4,N42&lt;=8),"P2",IF(N42&gt;8,"P1","")))</f>
        <v>P2</v>
      </c>
      <c r="P42" s="10" t="s">
        <v>233</v>
      </c>
      <c r="S42" s="14">
        <v>45212</v>
      </c>
    </row>
    <row r="43" spans="1:20" ht="105" x14ac:dyDescent="0.25">
      <c r="A43" s="10" t="s">
        <v>614</v>
      </c>
      <c r="B43" s="10" t="s">
        <v>615</v>
      </c>
      <c r="C43" s="10" t="s">
        <v>616</v>
      </c>
      <c r="D43" s="15">
        <v>3</v>
      </c>
      <c r="E43" s="10" t="s">
        <v>232</v>
      </c>
      <c r="F43" s="10" t="s">
        <v>623</v>
      </c>
      <c r="G43" s="4" t="s">
        <v>624</v>
      </c>
      <c r="H43" s="6" t="s">
        <v>617</v>
      </c>
      <c r="I43" s="1">
        <v>2</v>
      </c>
      <c r="J43" s="1">
        <v>4</v>
      </c>
      <c r="K43" s="16">
        <f>Tableau1434567[[#This Row],[Fréquence]]*Tableau1434567[[#This Row],[Gravité]]</f>
        <v>8</v>
      </c>
      <c r="L43" s="6" t="s">
        <v>625</v>
      </c>
      <c r="M43" s="1">
        <v>0.75</v>
      </c>
      <c r="N43" s="2">
        <f>Tableau1434567[[#This Row],[Moyen de Maitrise]]*Tableau1434567[[#This Row],[Priorité initiale]]</f>
        <v>6</v>
      </c>
      <c r="O43" s="17" t="str">
        <f>IF(AND(N43&gt;=0,N43&lt;4),"P3",IF(AND(N43&gt;=4,N43&lt;=8),"P2",IF(N43&gt;8,"P1","")))</f>
        <v>P2</v>
      </c>
      <c r="P43" s="10" t="s">
        <v>626</v>
      </c>
      <c r="R43" s="14"/>
    </row>
    <row r="44" spans="1:20" ht="60" x14ac:dyDescent="0.25">
      <c r="A44" s="10" t="s">
        <v>614</v>
      </c>
      <c r="B44" s="10" t="s">
        <v>615</v>
      </c>
      <c r="C44" s="10" t="s">
        <v>633</v>
      </c>
      <c r="D44" s="15">
        <v>3</v>
      </c>
      <c r="E44" s="10" t="s">
        <v>232</v>
      </c>
      <c r="F44" s="4" t="s">
        <v>236</v>
      </c>
      <c r="G44" s="4" t="s">
        <v>235</v>
      </c>
      <c r="H44" s="6" t="s">
        <v>617</v>
      </c>
      <c r="I44" s="1">
        <v>1</v>
      </c>
      <c r="J44" s="1">
        <v>4</v>
      </c>
      <c r="K44" s="16">
        <f>Tableau1434567[[#This Row],[Fréquence]]*Tableau1434567[[#This Row],[Gravité]]</f>
        <v>4</v>
      </c>
      <c r="L44" s="6" t="s">
        <v>234</v>
      </c>
      <c r="M44" s="1">
        <v>1</v>
      </c>
      <c r="N44" s="2">
        <f>Tableau1434567[[#This Row],[Moyen de Maitrise]]*Tableau1434567[[#This Row],[Priorité initiale]]</f>
        <v>4</v>
      </c>
      <c r="O44" s="17" t="str">
        <f>IF(AND(N44&gt;=0,N44&lt;4),"P3",IF(AND(N44&gt;=4,N44&lt;=8),"P2",IF(N44&gt;8,"P1","")))</f>
        <v>P2</v>
      </c>
      <c r="P44" s="10" t="s">
        <v>233</v>
      </c>
      <c r="R44" s="14">
        <v>45212</v>
      </c>
    </row>
    <row r="45" spans="1:20" ht="105" x14ac:dyDescent="0.25">
      <c r="A45" s="10" t="s">
        <v>305</v>
      </c>
      <c r="B45" s="10" t="s">
        <v>306</v>
      </c>
      <c r="C45" s="10" t="s">
        <v>307</v>
      </c>
      <c r="D45" s="15">
        <v>4</v>
      </c>
      <c r="E45" s="10" t="s">
        <v>217</v>
      </c>
      <c r="F45" s="10" t="s">
        <v>323</v>
      </c>
      <c r="G45" s="4" t="s">
        <v>216</v>
      </c>
      <c r="H45" s="6" t="s">
        <v>308</v>
      </c>
      <c r="I45" s="1">
        <v>2</v>
      </c>
      <c r="J45" s="1">
        <v>4</v>
      </c>
      <c r="K45" s="16">
        <f>Tableau1434567[[#This Row],[Fréquence]]*Tableau1434567[[#This Row],[Gravité]]</f>
        <v>8</v>
      </c>
      <c r="L45" s="6" t="s">
        <v>324</v>
      </c>
      <c r="M45" s="1">
        <v>0.5</v>
      </c>
      <c r="N45" s="2">
        <f>Tableau1434567[[#This Row],[Moyen de Maitrise]]*Tableau1434567[[#This Row],[Priorité initiale]]</f>
        <v>4</v>
      </c>
      <c r="O45" s="17" t="str">
        <f>IF(AND(N45&gt;=0,N45&lt;4),"P3",IF(AND(N45&gt;=4,N45&lt;=8),"P2",IF(N45&gt;8,"P1","")))</f>
        <v>P2</v>
      </c>
      <c r="P45" s="10" t="s">
        <v>325</v>
      </c>
      <c r="R45" s="14"/>
    </row>
    <row r="46" spans="1:20" ht="180" x14ac:dyDescent="0.25">
      <c r="A46" s="10" t="s">
        <v>490</v>
      </c>
      <c r="B46" s="10" t="s">
        <v>491</v>
      </c>
      <c r="C46" s="10" t="s">
        <v>492</v>
      </c>
      <c r="D46" s="15">
        <v>4</v>
      </c>
      <c r="E46" s="10" t="s">
        <v>217</v>
      </c>
      <c r="F46" s="10" t="s">
        <v>220</v>
      </c>
      <c r="G46" s="4" t="s">
        <v>216</v>
      </c>
      <c r="H46" s="6" t="s">
        <v>493</v>
      </c>
      <c r="I46" s="1">
        <v>2</v>
      </c>
      <c r="J46" s="1">
        <v>4</v>
      </c>
      <c r="K46" s="16">
        <f>Tableau1434567[[#This Row],[Fréquence]]*Tableau1434567[[#This Row],[Gravité]]</f>
        <v>8</v>
      </c>
      <c r="L46" s="6" t="s">
        <v>512</v>
      </c>
      <c r="M46" s="1">
        <v>0.75</v>
      </c>
      <c r="N46" s="2">
        <f>Tableau1434567[[#This Row],[Moyen de Maitrise]]*Tableau1434567[[#This Row],[Priorité initiale]]</f>
        <v>6</v>
      </c>
      <c r="O46" s="17" t="str">
        <f>IF(AND(N46&gt;=0,N46&lt;4),"P3",IF(AND(N46&gt;=4,N46&lt;=8),"P2",IF(N46&gt;8,"P1","")))</f>
        <v>P2</v>
      </c>
      <c r="P46" s="10" t="s">
        <v>513</v>
      </c>
      <c r="R46" s="9">
        <v>46090</v>
      </c>
      <c r="S46" s="14"/>
    </row>
    <row r="47" spans="1:20" ht="75" x14ac:dyDescent="0.25">
      <c r="A47" s="10" t="s">
        <v>490</v>
      </c>
      <c r="B47" s="10" t="s">
        <v>491</v>
      </c>
      <c r="C47" s="10" t="s">
        <v>492</v>
      </c>
      <c r="D47" s="15">
        <v>4</v>
      </c>
      <c r="E47" s="10" t="s">
        <v>217</v>
      </c>
      <c r="F47" s="10" t="s">
        <v>221</v>
      </c>
      <c r="G47" s="4" t="s">
        <v>531</v>
      </c>
      <c r="H47" s="6" t="s">
        <v>493</v>
      </c>
      <c r="I47" s="1">
        <v>2</v>
      </c>
      <c r="J47" s="1">
        <v>3</v>
      </c>
      <c r="K47" s="16">
        <f>Tableau1434567[[#This Row],[Fréquence]]*Tableau1434567[[#This Row],[Gravité]]</f>
        <v>6</v>
      </c>
      <c r="L47" s="6" t="s">
        <v>532</v>
      </c>
      <c r="M47" s="1">
        <v>0.75</v>
      </c>
      <c r="N47" s="2">
        <f>Tableau1434567[[#This Row],[Moyen de Maitrise]]*Tableau1434567[[#This Row],[Priorité initiale]]</f>
        <v>4.5</v>
      </c>
      <c r="O47" s="17" t="str">
        <f>IF(AND(N47&gt;=0,N47&lt;4),"P3",IF(AND(N47&gt;=4,N47&lt;=8),"P2",IF(N47&gt;8,"P1","")))</f>
        <v>P2</v>
      </c>
      <c r="P47" s="10" t="s">
        <v>533</v>
      </c>
      <c r="S47" s="14"/>
    </row>
    <row r="48" spans="1:20" ht="75" x14ac:dyDescent="0.25">
      <c r="A48" s="10" t="s">
        <v>305</v>
      </c>
      <c r="B48" s="10" t="s">
        <v>306</v>
      </c>
      <c r="C48" s="10" t="s">
        <v>307</v>
      </c>
      <c r="D48" s="15">
        <v>5</v>
      </c>
      <c r="E48" s="10" t="s">
        <v>209</v>
      </c>
      <c r="F48" s="10" t="s">
        <v>326</v>
      </c>
      <c r="G48" s="4" t="s">
        <v>327</v>
      </c>
      <c r="H48" s="6" t="s">
        <v>308</v>
      </c>
      <c r="I48" s="1">
        <v>4</v>
      </c>
      <c r="J48" s="1">
        <v>3</v>
      </c>
      <c r="K48" s="16">
        <f>Tableau1434567[[#This Row],[Fréquence]]*Tableau1434567[[#This Row],[Gravité]]</f>
        <v>12</v>
      </c>
      <c r="L48" s="6" t="s">
        <v>328</v>
      </c>
      <c r="M48" s="1">
        <v>0.5</v>
      </c>
      <c r="N48" s="2">
        <f>Tableau1434567[[#This Row],[Priorité initiale]]*Tableau1434567[[#This Row],[Moyen de Maitrise]]</f>
        <v>6</v>
      </c>
      <c r="O48" s="17" t="str">
        <f>IF(AND(N48&gt;=0,N48&lt;4),"P3",IF(AND(N48&gt;=4,N48&lt;=8),"P2",IF(N48&gt;8,"P1","")))</f>
        <v>P2</v>
      </c>
      <c r="P48" s="10"/>
      <c r="Q48" s="9"/>
    </row>
    <row r="49" spans="1:19" ht="45" x14ac:dyDescent="0.25">
      <c r="A49" s="10" t="s">
        <v>305</v>
      </c>
      <c r="B49" s="10" t="s">
        <v>306</v>
      </c>
      <c r="C49" s="10" t="s">
        <v>307</v>
      </c>
      <c r="D49" s="15">
        <v>5</v>
      </c>
      <c r="E49" s="10" t="s">
        <v>209</v>
      </c>
      <c r="F49" s="10" t="s">
        <v>329</v>
      </c>
      <c r="G49" s="4" t="s">
        <v>327</v>
      </c>
      <c r="H49" s="6" t="s">
        <v>308</v>
      </c>
      <c r="I49" s="1">
        <v>3</v>
      </c>
      <c r="J49" s="1">
        <v>3</v>
      </c>
      <c r="K49" s="16">
        <f>Tableau1434567[[#This Row],[Fréquence]]*Tableau1434567[[#This Row],[Gravité]]</f>
        <v>9</v>
      </c>
      <c r="L49" s="6" t="s">
        <v>330</v>
      </c>
      <c r="M49" s="1">
        <v>0.5</v>
      </c>
      <c r="N49" s="2">
        <f>Tableau1434567[[#This Row],[Priorité initiale]]*Tableau1434567[[#This Row],[Moyen de Maitrise]]</f>
        <v>4.5</v>
      </c>
      <c r="O49" s="17" t="str">
        <f>IF(AND(N49&gt;=0,N49&lt;4),"P3",IF(AND(N49&gt;=4,N49&lt;=8),"P2",IF(N49&gt;8,"P1","")))</f>
        <v>P2</v>
      </c>
      <c r="P49" s="10"/>
      <c r="Q49" s="9"/>
    </row>
    <row r="50" spans="1:19" ht="165" x14ac:dyDescent="0.25">
      <c r="A50" s="10" t="s">
        <v>305</v>
      </c>
      <c r="B50" s="10" t="s">
        <v>306</v>
      </c>
      <c r="C50" s="10" t="s">
        <v>307</v>
      </c>
      <c r="D50" s="15">
        <v>6</v>
      </c>
      <c r="E50" s="10" t="s">
        <v>205</v>
      </c>
      <c r="F50" s="10" t="s">
        <v>206</v>
      </c>
      <c r="G50" s="4" t="s">
        <v>203</v>
      </c>
      <c r="H50" s="6" t="s">
        <v>308</v>
      </c>
      <c r="I50" s="1">
        <v>3</v>
      </c>
      <c r="J50" s="1">
        <v>4</v>
      </c>
      <c r="K50" s="16">
        <f>Tableau1434567[[#This Row],[Fréquence]]*Tableau1434567[[#This Row],[Gravité]]</f>
        <v>12</v>
      </c>
      <c r="L50" s="6" t="s">
        <v>335</v>
      </c>
      <c r="M50" s="1">
        <v>0.5</v>
      </c>
      <c r="N50" s="2">
        <f>Tableau1434567[[#This Row],[Priorité initiale]]*Tableau1434567[[#This Row],[Moyen de Maitrise]]</f>
        <v>6</v>
      </c>
      <c r="O50" s="17" t="str">
        <f>IF(AND(N50&gt;=0,N50&lt;4),"P3",IF(AND(N50&gt;=4,N50&lt;=8),"P2",IF(N50&gt;8,"P1","")))</f>
        <v>P2</v>
      </c>
      <c r="P50" s="10" t="s">
        <v>336</v>
      </c>
      <c r="Q50" s="9">
        <v>46128</v>
      </c>
      <c r="R50" s="6"/>
    </row>
    <row r="51" spans="1:19" ht="195" x14ac:dyDescent="0.25">
      <c r="A51" s="10" t="s">
        <v>305</v>
      </c>
      <c r="B51" s="10" t="s">
        <v>306</v>
      </c>
      <c r="C51" s="10" t="s">
        <v>307</v>
      </c>
      <c r="D51" s="15">
        <v>6</v>
      </c>
      <c r="E51" s="10" t="s">
        <v>205</v>
      </c>
      <c r="F51" s="10" t="s">
        <v>204</v>
      </c>
      <c r="G51" s="4" t="s">
        <v>203</v>
      </c>
      <c r="H51" s="6" t="s">
        <v>308</v>
      </c>
      <c r="I51" s="1">
        <v>2</v>
      </c>
      <c r="J51" s="1">
        <v>4</v>
      </c>
      <c r="K51" s="16">
        <f>Tableau1434567[[#This Row],[Fréquence]]*Tableau1434567[[#This Row],[Gravité]]</f>
        <v>8</v>
      </c>
      <c r="L51" s="6" t="s">
        <v>337</v>
      </c>
      <c r="M51" s="1">
        <v>0.5</v>
      </c>
      <c r="N51" s="2">
        <f>Tableau1434567[[#This Row],[Priorité initiale]]*Tableau1434567[[#This Row],[Moyen de Maitrise]]</f>
        <v>4</v>
      </c>
      <c r="O51" s="17" t="str">
        <f>IF(AND(N51&gt;=0,N51&lt;4),"P3",IF(AND(N51&gt;=4,N51&lt;=8),"P2",IF(N51&gt;8,"P1","")))</f>
        <v>P2</v>
      </c>
      <c r="P51" s="10"/>
      <c r="R51" s="14"/>
    </row>
    <row r="52" spans="1:19" ht="135" x14ac:dyDescent="0.25">
      <c r="A52" s="10" t="s">
        <v>490</v>
      </c>
      <c r="B52" s="10" t="s">
        <v>491</v>
      </c>
      <c r="C52" s="10" t="s">
        <v>492</v>
      </c>
      <c r="D52" s="15">
        <v>6</v>
      </c>
      <c r="E52" s="10" t="s">
        <v>205</v>
      </c>
      <c r="F52" s="10" t="s">
        <v>206</v>
      </c>
      <c r="G52" s="4" t="s">
        <v>203</v>
      </c>
      <c r="H52" s="6" t="s">
        <v>493</v>
      </c>
      <c r="I52" s="1">
        <v>2</v>
      </c>
      <c r="J52" s="1">
        <v>4</v>
      </c>
      <c r="K52" s="16">
        <f>Tableau1434567[[#This Row],[Fréquence]]*Tableau1434567[[#This Row],[Gravité]]</f>
        <v>8</v>
      </c>
      <c r="L52" s="6" t="s">
        <v>498</v>
      </c>
      <c r="M52" s="1">
        <v>0.75</v>
      </c>
      <c r="N52" s="2">
        <f>Tableau1434567[[#This Row],[Moyen de Maitrise]]*Tableau1434567[[#This Row],[Priorité initiale]]</f>
        <v>6</v>
      </c>
      <c r="O52" s="17" t="str">
        <f>IF(AND(N52&gt;=0,N52&lt;4),"P3",IF(AND(N52&gt;=4,N52&lt;=8),"P2",IF(N52&gt;8,"P1","")))</f>
        <v>P2</v>
      </c>
      <c r="P52" s="10" t="s">
        <v>499</v>
      </c>
      <c r="R52" s="9">
        <v>46090</v>
      </c>
      <c r="S52" s="14"/>
    </row>
    <row r="53" spans="1:19" ht="135" x14ac:dyDescent="0.25">
      <c r="A53" s="10" t="s">
        <v>490</v>
      </c>
      <c r="B53" s="10" t="s">
        <v>491</v>
      </c>
      <c r="C53" s="10" t="s">
        <v>500</v>
      </c>
      <c r="D53" s="15">
        <v>6</v>
      </c>
      <c r="E53" s="10" t="s">
        <v>205</v>
      </c>
      <c r="F53" s="10" t="s">
        <v>206</v>
      </c>
      <c r="G53" s="4" t="s">
        <v>203</v>
      </c>
      <c r="H53" s="6" t="s">
        <v>493</v>
      </c>
      <c r="I53" s="1">
        <v>2</v>
      </c>
      <c r="J53" s="1">
        <v>4</v>
      </c>
      <c r="K53" s="16">
        <f>Tableau1434567[[#This Row],[Fréquence]]*Tableau1434567[[#This Row],[Gravité]]</f>
        <v>8</v>
      </c>
      <c r="L53" s="6" t="s">
        <v>501</v>
      </c>
      <c r="M53" s="1">
        <v>1</v>
      </c>
      <c r="N53" s="2">
        <f>Tableau1434567[[#This Row],[Moyen de Maitrise]]*Tableau1434567[[#This Row],[Priorité initiale]]</f>
        <v>8</v>
      </c>
      <c r="O53" s="17" t="str">
        <f>IF(AND(N53&gt;=0,N53&lt;4),"P3",IF(AND(N53&gt;=4,N53&lt;=8),"P2",IF(N53&gt;8,"P1","")))</f>
        <v>P2</v>
      </c>
      <c r="P53" s="10" t="s">
        <v>502</v>
      </c>
      <c r="R53" s="9">
        <v>46090</v>
      </c>
      <c r="S53" s="14"/>
    </row>
    <row r="54" spans="1:19" ht="60" x14ac:dyDescent="0.25">
      <c r="A54" s="10" t="s">
        <v>490</v>
      </c>
      <c r="B54" s="10" t="s">
        <v>491</v>
      </c>
      <c r="C54" s="10" t="s">
        <v>495</v>
      </c>
      <c r="D54" s="15">
        <v>6</v>
      </c>
      <c r="E54" s="10" t="s">
        <v>205</v>
      </c>
      <c r="F54" s="10" t="s">
        <v>204</v>
      </c>
      <c r="G54" s="4" t="s">
        <v>203</v>
      </c>
      <c r="H54" s="6" t="s">
        <v>493</v>
      </c>
      <c r="I54" s="1">
        <v>1</v>
      </c>
      <c r="J54" s="1">
        <v>4</v>
      </c>
      <c r="K54" s="16">
        <f>Tableau1434567[[#This Row],[Fréquence]]*Tableau1434567[[#This Row],[Gravité]]</f>
        <v>4</v>
      </c>
      <c r="L54" s="6" t="s">
        <v>496</v>
      </c>
      <c r="M54" s="1">
        <v>1</v>
      </c>
      <c r="N54" s="2">
        <f>Tableau1434567[[#This Row],[Moyen de Maitrise]]*Tableau1434567[[#This Row],[Priorité initiale]]</f>
        <v>4</v>
      </c>
      <c r="O54" s="17" t="str">
        <f>IF(AND(N54&gt;=0,N54&lt;4),"P3",IF(AND(N54&gt;=4,N54&lt;=8),"P2",IF(N54&gt;8,"P1","")))</f>
        <v>P2</v>
      </c>
      <c r="P54" s="10" t="s">
        <v>496</v>
      </c>
      <c r="S54" s="14">
        <v>45172</v>
      </c>
    </row>
    <row r="55" spans="1:19" ht="120" x14ac:dyDescent="0.25">
      <c r="A55" s="10" t="s">
        <v>490</v>
      </c>
      <c r="B55" s="10" t="s">
        <v>491</v>
      </c>
      <c r="C55" s="10" t="s">
        <v>500</v>
      </c>
      <c r="D55" s="15">
        <v>6</v>
      </c>
      <c r="E55" s="10" t="s">
        <v>205</v>
      </c>
      <c r="F55" s="10" t="s">
        <v>204</v>
      </c>
      <c r="G55" s="4" t="s">
        <v>203</v>
      </c>
      <c r="H55" s="6" t="s">
        <v>493</v>
      </c>
      <c r="I55" s="1">
        <v>1</v>
      </c>
      <c r="J55" s="1">
        <v>4</v>
      </c>
      <c r="K55" s="16">
        <f>Tableau1434567[[#This Row],[Fréquence]]*Tableau1434567[[#This Row],[Gravité]]</f>
        <v>4</v>
      </c>
      <c r="L55" s="6" t="s">
        <v>547</v>
      </c>
      <c r="M55" s="1">
        <v>1</v>
      </c>
      <c r="N55" s="2">
        <f>Tableau1434567[[#This Row],[Moyen de Maitrise]]*Tableau1434567[[#This Row],[Priorité initiale]]</f>
        <v>4</v>
      </c>
      <c r="O55" s="17" t="str">
        <f>IF(AND(N55&gt;=0,N55&lt;4),"P3",IF(AND(N55&gt;=4,N55&lt;=8),"P2",IF(N55&gt;8,"P1","")))</f>
        <v>P2</v>
      </c>
      <c r="P55" s="10" t="s">
        <v>548</v>
      </c>
      <c r="S55" s="14">
        <v>45172</v>
      </c>
    </row>
    <row r="56" spans="1:19" ht="75" x14ac:dyDescent="0.25">
      <c r="A56" s="10" t="s">
        <v>614</v>
      </c>
      <c r="B56" s="10" t="s">
        <v>615</v>
      </c>
      <c r="C56" s="10" t="s">
        <v>668</v>
      </c>
      <c r="D56" s="15">
        <v>6</v>
      </c>
      <c r="E56" s="10" t="s">
        <v>205</v>
      </c>
      <c r="F56" s="10" t="s">
        <v>204</v>
      </c>
      <c r="G56" s="4" t="s">
        <v>203</v>
      </c>
      <c r="H56" s="6" t="s">
        <v>617</v>
      </c>
      <c r="I56" s="1">
        <v>1</v>
      </c>
      <c r="J56" s="1">
        <v>4</v>
      </c>
      <c r="K56" s="16">
        <f>Tableau1434567[[#This Row],[Fréquence]]*Tableau1434567[[#This Row],[Gravité]]</f>
        <v>4</v>
      </c>
      <c r="L56" s="6" t="s">
        <v>669</v>
      </c>
      <c r="M56" s="1">
        <v>1</v>
      </c>
      <c r="N56" s="2">
        <f>Tableau1434567[[#This Row],[Moyen de Maitrise]]*Tableau1434567[[#This Row],[Priorité initiale]]</f>
        <v>4</v>
      </c>
      <c r="O56" s="17" t="str">
        <f>IF(AND(N56&gt;=0,N56&lt;4),"P3",IF(AND(N56&gt;=4,N56&lt;=8),"P2",IF(N56&gt;8,"P1","")))</f>
        <v>P2</v>
      </c>
      <c r="P56" s="10" t="s">
        <v>669</v>
      </c>
      <c r="R56" s="14">
        <v>45172</v>
      </c>
    </row>
    <row r="57" spans="1:19" ht="75" x14ac:dyDescent="0.25">
      <c r="A57" s="10" t="s">
        <v>614</v>
      </c>
      <c r="B57" s="10" t="s">
        <v>615</v>
      </c>
      <c r="C57" s="10" t="s">
        <v>616</v>
      </c>
      <c r="D57" s="15">
        <v>6</v>
      </c>
      <c r="E57" s="10" t="s">
        <v>205</v>
      </c>
      <c r="F57" s="10" t="s">
        <v>204</v>
      </c>
      <c r="G57" s="4" t="s">
        <v>670</v>
      </c>
      <c r="H57" s="6" t="s">
        <v>617</v>
      </c>
      <c r="I57" s="1">
        <v>2</v>
      </c>
      <c r="J57" s="1">
        <v>4</v>
      </c>
      <c r="K57" s="16">
        <f>Tableau1434567[[#This Row],[Fréquence]]*Tableau1434567[[#This Row],[Gravité]]</f>
        <v>8</v>
      </c>
      <c r="L57" s="6" t="s">
        <v>671</v>
      </c>
      <c r="M57" s="1">
        <v>0.5</v>
      </c>
      <c r="N57" s="2">
        <f>Tableau1434567[[#This Row],[Moyen de Maitrise]]*Tableau1434567[[#This Row],[Priorité initiale]]</f>
        <v>4</v>
      </c>
      <c r="O57" s="17" t="str">
        <f>IF(AND(N57&gt;=0,N57&lt;4),"P3",IF(AND(N57&gt;=4,N57&lt;=8),"P2",IF(N57&gt;8,"P1","")))</f>
        <v>P2</v>
      </c>
      <c r="P57" s="10" t="s">
        <v>672</v>
      </c>
      <c r="R57" s="14"/>
    </row>
    <row r="58" spans="1:19" ht="45" x14ac:dyDescent="0.25">
      <c r="A58" s="10" t="s">
        <v>490</v>
      </c>
      <c r="B58" s="10" t="s">
        <v>491</v>
      </c>
      <c r="C58" s="10" t="s">
        <v>492</v>
      </c>
      <c r="D58" s="15">
        <v>7</v>
      </c>
      <c r="E58" s="10" t="s">
        <v>193</v>
      </c>
      <c r="F58" s="10" t="s">
        <v>196</v>
      </c>
      <c r="G58" s="4" t="s">
        <v>195</v>
      </c>
      <c r="H58" s="6" t="s">
        <v>493</v>
      </c>
      <c r="I58" s="1">
        <v>2</v>
      </c>
      <c r="J58" s="1">
        <v>3</v>
      </c>
      <c r="K58" s="16">
        <f>Tableau1434567[[#This Row],[Fréquence]]*Tableau1434567[[#This Row],[Gravité]]</f>
        <v>6</v>
      </c>
      <c r="L58" s="6" t="s">
        <v>514</v>
      </c>
      <c r="M58" s="1">
        <v>1</v>
      </c>
      <c r="N58" s="2">
        <f>Tableau1434567[[#This Row],[Moyen de Maitrise]]*Tableau1434567[[#This Row],[Priorité initiale]]</f>
        <v>6</v>
      </c>
      <c r="O58" s="17" t="str">
        <f>IF(AND(N58&gt;=0,N58&lt;4),"P3",IF(AND(N58&gt;=4,N58&lt;=8),"P2",IF(N58&gt;8,"P1","")))</f>
        <v>P2</v>
      </c>
      <c r="P58" s="10" t="s">
        <v>515</v>
      </c>
      <c r="R58" s="9">
        <v>46090</v>
      </c>
      <c r="S58" s="14"/>
    </row>
    <row r="59" spans="1:19" ht="75" x14ac:dyDescent="0.25">
      <c r="A59" s="10" t="s">
        <v>305</v>
      </c>
      <c r="B59" s="10" t="s">
        <v>306</v>
      </c>
      <c r="C59" s="10" t="s">
        <v>307</v>
      </c>
      <c r="D59" s="15">
        <v>8</v>
      </c>
      <c r="E59" s="10" t="s">
        <v>184</v>
      </c>
      <c r="F59" s="10" t="s">
        <v>185</v>
      </c>
      <c r="G59" s="4" t="s">
        <v>182</v>
      </c>
      <c r="H59" s="6" t="s">
        <v>308</v>
      </c>
      <c r="I59" s="1">
        <v>2</v>
      </c>
      <c r="J59" s="1">
        <v>4</v>
      </c>
      <c r="K59" s="16">
        <f>Tableau1434567[[#This Row],[Fréquence]]*Tableau1434567[[#This Row],[Gravité]]</f>
        <v>8</v>
      </c>
      <c r="L59" s="6" t="s">
        <v>343</v>
      </c>
      <c r="M59" s="1">
        <v>0.5</v>
      </c>
      <c r="N59" s="2">
        <f>Tableau1434567[[#This Row],[Priorité initiale]]*Tableau1434567[[#This Row],[Moyen de Maitrise]]</f>
        <v>4</v>
      </c>
      <c r="O59" s="17" t="str">
        <f>IF(AND(N59&gt;=0,N59&lt;4),"P3",IF(AND(N59&gt;=4,N59&lt;=8),"P2",IF(N59&gt;8,"P1","")))</f>
        <v>P2</v>
      </c>
      <c r="P59" s="10"/>
    </row>
    <row r="60" spans="1:19" ht="90" x14ac:dyDescent="0.25">
      <c r="A60" s="10" t="s">
        <v>490</v>
      </c>
      <c r="B60" s="10" t="s">
        <v>491</v>
      </c>
      <c r="C60" s="10" t="s">
        <v>500</v>
      </c>
      <c r="D60" s="15">
        <v>8</v>
      </c>
      <c r="E60" s="10" t="s">
        <v>184</v>
      </c>
      <c r="F60" s="10" t="s">
        <v>507</v>
      </c>
      <c r="G60" s="4" t="s">
        <v>508</v>
      </c>
      <c r="H60" s="6" t="s">
        <v>493</v>
      </c>
      <c r="I60" s="1">
        <v>3</v>
      </c>
      <c r="J60" s="1">
        <v>3</v>
      </c>
      <c r="K60" s="16">
        <f>Tableau1434567[[#This Row],[Fréquence]]*Tableau1434567[[#This Row],[Gravité]]</f>
        <v>9</v>
      </c>
      <c r="L60" s="6" t="s">
        <v>509</v>
      </c>
      <c r="M60" s="1">
        <v>0.75</v>
      </c>
      <c r="N60" s="2">
        <f>Tableau1434567[[#This Row],[Moyen de Maitrise]]*Tableau1434567[[#This Row],[Priorité initiale]]</f>
        <v>6.75</v>
      </c>
      <c r="O60" s="17" t="str">
        <f>IF(AND(N60&gt;=0,N60&lt;4),"P3",IF(AND(N60&gt;=4,N60&lt;=8),"P2",IF(N60&gt;8,"P1","")))</f>
        <v>P2</v>
      </c>
      <c r="P60" s="10" t="s">
        <v>510</v>
      </c>
      <c r="R60" s="9">
        <v>46090</v>
      </c>
      <c r="S60" s="14"/>
    </row>
    <row r="61" spans="1:19" ht="90" x14ac:dyDescent="0.25">
      <c r="A61" s="10" t="s">
        <v>490</v>
      </c>
      <c r="B61" s="10" t="s">
        <v>491</v>
      </c>
      <c r="C61" s="10" t="s">
        <v>500</v>
      </c>
      <c r="D61" s="15">
        <v>8</v>
      </c>
      <c r="E61" s="10" t="s">
        <v>184</v>
      </c>
      <c r="F61" s="10" t="s">
        <v>187</v>
      </c>
      <c r="G61" s="4" t="s">
        <v>182</v>
      </c>
      <c r="H61" s="6" t="s">
        <v>493</v>
      </c>
      <c r="I61" s="1">
        <v>2</v>
      </c>
      <c r="J61" s="1">
        <v>4</v>
      </c>
      <c r="K61" s="16">
        <f>Tableau1434567[[#This Row],[Fréquence]]*Tableau1434567[[#This Row],[Gravité]]</f>
        <v>8</v>
      </c>
      <c r="L61" s="6" t="s">
        <v>516</v>
      </c>
      <c r="M61" s="1">
        <v>0.5</v>
      </c>
      <c r="N61" s="2">
        <f>Tableau1434567[[#This Row],[Moyen de Maitrise]]*Tableau1434567[[#This Row],[Priorité initiale]]</f>
        <v>4</v>
      </c>
      <c r="O61" s="17" t="str">
        <f>IF(AND(N61&gt;=0,N61&lt;4),"P3",IF(AND(N61&gt;=4,N61&lt;=8),"P2",IF(N61&gt;8,"P1","")))</f>
        <v>P2</v>
      </c>
      <c r="P61" s="10"/>
      <c r="R61" s="9">
        <v>46090</v>
      </c>
      <c r="S61" s="14"/>
    </row>
    <row r="62" spans="1:19" ht="60" x14ac:dyDescent="0.25">
      <c r="A62" s="10" t="s">
        <v>490</v>
      </c>
      <c r="B62" s="10" t="s">
        <v>491</v>
      </c>
      <c r="C62" s="10" t="s">
        <v>495</v>
      </c>
      <c r="D62" s="15">
        <v>8</v>
      </c>
      <c r="E62" s="10" t="s">
        <v>184</v>
      </c>
      <c r="F62" s="10" t="s">
        <v>183</v>
      </c>
      <c r="G62" s="4" t="s">
        <v>182</v>
      </c>
      <c r="H62" s="6" t="s">
        <v>493</v>
      </c>
      <c r="I62" s="1">
        <v>1</v>
      </c>
      <c r="J62" s="1">
        <v>4</v>
      </c>
      <c r="K62" s="16">
        <f>Tableau1434567[[#This Row],[Fréquence]]*Tableau1434567[[#This Row],[Gravité]]</f>
        <v>4</v>
      </c>
      <c r="L62" s="6" t="s">
        <v>496</v>
      </c>
      <c r="M62" s="1">
        <v>1</v>
      </c>
      <c r="N62" s="2">
        <f>Tableau1434567[[#This Row],[Moyen de Maitrise]]*Tableau1434567[[#This Row],[Priorité initiale]]</f>
        <v>4</v>
      </c>
      <c r="O62" s="17" t="str">
        <f>IF(AND(N62&gt;=0,N62&lt;4),"P3",IF(AND(N62&gt;=4,N62&lt;=8),"P2",IF(N62&gt;8,"P1","")))</f>
        <v>P2</v>
      </c>
      <c r="P62" s="10" t="s">
        <v>496</v>
      </c>
      <c r="S62" s="14">
        <v>45172</v>
      </c>
    </row>
    <row r="63" spans="1:19" ht="75" x14ac:dyDescent="0.25">
      <c r="A63" s="10" t="s">
        <v>490</v>
      </c>
      <c r="B63" s="10" t="s">
        <v>491</v>
      </c>
      <c r="C63" s="10" t="s">
        <v>500</v>
      </c>
      <c r="D63" s="15">
        <v>8</v>
      </c>
      <c r="E63" s="10" t="s">
        <v>184</v>
      </c>
      <c r="F63" s="10" t="s">
        <v>183</v>
      </c>
      <c r="G63" s="4" t="s">
        <v>182</v>
      </c>
      <c r="H63" s="6" t="s">
        <v>493</v>
      </c>
      <c r="I63" s="1">
        <v>1</v>
      </c>
      <c r="J63" s="1">
        <v>4</v>
      </c>
      <c r="K63" s="16">
        <f>Tableau1434567[[#This Row],[Fréquence]]*Tableau1434567[[#This Row],[Gravité]]</f>
        <v>4</v>
      </c>
      <c r="L63" s="6" t="s">
        <v>549</v>
      </c>
      <c r="M63" s="1">
        <v>1</v>
      </c>
      <c r="N63" s="2">
        <f>Tableau1434567[[#This Row],[Moyen de Maitrise]]*Tableau1434567[[#This Row],[Priorité initiale]]</f>
        <v>4</v>
      </c>
      <c r="O63" s="17" t="str">
        <f>IF(AND(N63&gt;=0,N63&lt;4),"P3",IF(AND(N63&gt;=4,N63&lt;=8),"P2",IF(N63&gt;8,"P1","")))</f>
        <v>P2</v>
      </c>
      <c r="P63" s="10" t="s">
        <v>550</v>
      </c>
      <c r="S63" s="14">
        <v>45172</v>
      </c>
    </row>
    <row r="64" spans="1:19" ht="120" x14ac:dyDescent="0.25">
      <c r="A64" s="10" t="s">
        <v>490</v>
      </c>
      <c r="B64" s="10" t="s">
        <v>491</v>
      </c>
      <c r="C64" s="10" t="s">
        <v>492</v>
      </c>
      <c r="D64" s="15">
        <v>8</v>
      </c>
      <c r="E64" s="10" t="s">
        <v>184</v>
      </c>
      <c r="F64" s="10" t="s">
        <v>183</v>
      </c>
      <c r="G64" s="4" t="s">
        <v>182</v>
      </c>
      <c r="H64" s="6" t="s">
        <v>493</v>
      </c>
      <c r="I64" s="1">
        <v>1</v>
      </c>
      <c r="J64" s="1">
        <v>4</v>
      </c>
      <c r="K64" s="16">
        <f>Tableau1434567[[#This Row],[Fréquence]]*Tableau1434567[[#This Row],[Gravité]]</f>
        <v>4</v>
      </c>
      <c r="L64" s="6" t="s">
        <v>186</v>
      </c>
      <c r="M64" s="1">
        <v>1</v>
      </c>
      <c r="N64" s="2">
        <f>Tableau1434567[[#This Row],[Moyen de Maitrise]]*Tableau1434567[[#This Row],[Priorité initiale]]</f>
        <v>4</v>
      </c>
      <c r="O64" s="17" t="str">
        <f>IF(AND(N64&gt;=0,N64&lt;4),"P3",IF(AND(N64&gt;=4,N64&lt;=8),"P2",IF(N64&gt;8,"P1","")))</f>
        <v>P2</v>
      </c>
      <c r="P64" s="10" t="s">
        <v>551</v>
      </c>
      <c r="S64" s="14"/>
    </row>
    <row r="65" spans="1:20" ht="75" x14ac:dyDescent="0.25">
      <c r="A65" s="10" t="s">
        <v>614</v>
      </c>
      <c r="B65" s="10" t="s">
        <v>615</v>
      </c>
      <c r="C65" s="10" t="s">
        <v>668</v>
      </c>
      <c r="D65" s="15">
        <v>8</v>
      </c>
      <c r="E65" s="10" t="s">
        <v>184</v>
      </c>
      <c r="F65" s="10" t="s">
        <v>183</v>
      </c>
      <c r="G65" s="4" t="s">
        <v>182</v>
      </c>
      <c r="H65" s="6" t="s">
        <v>617</v>
      </c>
      <c r="I65" s="1">
        <v>1</v>
      </c>
      <c r="J65" s="1">
        <v>4</v>
      </c>
      <c r="K65" s="16">
        <f>Tableau1434567[[#This Row],[Fréquence]]*Tableau1434567[[#This Row],[Gravité]]</f>
        <v>4</v>
      </c>
      <c r="L65" s="6" t="s">
        <v>669</v>
      </c>
      <c r="M65" s="1">
        <v>1</v>
      </c>
      <c r="N65" s="2">
        <f>Tableau1434567[[#This Row],[Moyen de Maitrise]]*Tableau1434567[[#This Row],[Priorité initiale]]</f>
        <v>4</v>
      </c>
      <c r="O65" s="17" t="str">
        <f>IF(AND(N65&gt;=0,N65&lt;4),"P3",IF(AND(N65&gt;=4,N65&lt;=8),"P2",IF(N65&gt;8,"P1","")))</f>
        <v>P2</v>
      </c>
      <c r="P65" s="10" t="s">
        <v>669</v>
      </c>
      <c r="R65" s="14">
        <v>45354</v>
      </c>
    </row>
    <row r="66" spans="1:20" ht="90" x14ac:dyDescent="0.25">
      <c r="A66" s="10" t="s">
        <v>614</v>
      </c>
      <c r="B66" s="10" t="s">
        <v>653</v>
      </c>
      <c r="C66" s="10" t="s">
        <v>654</v>
      </c>
      <c r="D66" s="15">
        <v>8</v>
      </c>
      <c r="E66" s="10" t="s">
        <v>184</v>
      </c>
      <c r="F66" s="10" t="s">
        <v>183</v>
      </c>
      <c r="G66" s="4" t="s">
        <v>182</v>
      </c>
      <c r="H66" s="6" t="s">
        <v>655</v>
      </c>
      <c r="I66" s="1">
        <v>1</v>
      </c>
      <c r="J66" s="1">
        <v>4</v>
      </c>
      <c r="K66" s="16">
        <f>Tableau1434567[[#This Row],[Fréquence]]*Tableau1434567[[#This Row],[Gravité]]</f>
        <v>4</v>
      </c>
      <c r="L66" s="6" t="s">
        <v>673</v>
      </c>
      <c r="M66" s="1">
        <v>1</v>
      </c>
      <c r="N66" s="2">
        <f>Tableau1434567[[#This Row],[Moyen de Maitrise]]*Tableau1434567[[#This Row],[Priorité initiale]]</f>
        <v>4</v>
      </c>
      <c r="O66" s="17" t="str">
        <f>IF(AND(N66&gt;=0,N66&lt;4),"P3",IF(AND(N66&gt;=4,N66&lt;=8),"P2",IF(N66&gt;8,"P1","")))</f>
        <v>P2</v>
      </c>
      <c r="P66" s="10" t="s">
        <v>674</v>
      </c>
      <c r="R66" s="14">
        <v>44782</v>
      </c>
    </row>
    <row r="67" spans="1:20" ht="30" x14ac:dyDescent="0.25">
      <c r="A67" s="10" t="s">
        <v>614</v>
      </c>
      <c r="B67" s="10" t="s">
        <v>615</v>
      </c>
      <c r="C67" s="10" t="s">
        <v>616</v>
      </c>
      <c r="D67" s="15">
        <v>8</v>
      </c>
      <c r="E67" s="10" t="s">
        <v>184</v>
      </c>
      <c r="F67" s="10" t="s">
        <v>675</v>
      </c>
      <c r="G67" s="4" t="s">
        <v>182</v>
      </c>
      <c r="H67" s="6" t="s">
        <v>617</v>
      </c>
      <c r="I67" s="1">
        <v>1</v>
      </c>
      <c r="J67" s="1">
        <v>4</v>
      </c>
      <c r="K67" s="16">
        <f>Tableau1434567[[#This Row],[Fréquence]]*Tableau1434567[[#This Row],[Gravité]]</f>
        <v>4</v>
      </c>
      <c r="L67" s="6" t="s">
        <v>676</v>
      </c>
      <c r="M67" s="1">
        <v>1</v>
      </c>
      <c r="N67" s="2">
        <f>Tableau1434567[[#This Row],[Moyen de Maitrise]]*Tableau1434567[[#This Row],[Priorité initiale]]</f>
        <v>4</v>
      </c>
      <c r="O67" s="17" t="str">
        <f>IF(AND(N67&gt;=0,N67&lt;4),"P3",IF(AND(N67&gt;=4,N67&lt;=8),"P2",IF(N67&gt;8,"P1","")))</f>
        <v>P2</v>
      </c>
      <c r="P67" s="10" t="s">
        <v>677</v>
      </c>
      <c r="R67" s="14"/>
    </row>
    <row r="68" spans="1:20" ht="90" x14ac:dyDescent="0.25">
      <c r="A68" s="10" t="s">
        <v>614</v>
      </c>
      <c r="B68" s="10" t="s">
        <v>741</v>
      </c>
      <c r="C68" s="10" t="s">
        <v>742</v>
      </c>
      <c r="D68" s="15">
        <v>8</v>
      </c>
      <c r="E68" s="10" t="s">
        <v>184</v>
      </c>
      <c r="F68" s="10" t="s">
        <v>183</v>
      </c>
      <c r="G68" s="34" t="s">
        <v>182</v>
      </c>
      <c r="H68" s="36" t="s">
        <v>743</v>
      </c>
      <c r="I68" s="38">
        <v>1</v>
      </c>
      <c r="J68" s="38">
        <v>4</v>
      </c>
      <c r="K68" s="16">
        <f>Tableau1434567[[#This Row],[Fréquence]]*Tableau1434567[[#This Row],[Gravité]]</f>
        <v>4</v>
      </c>
      <c r="L68" s="36" t="s">
        <v>748</v>
      </c>
      <c r="M68" s="38">
        <v>1</v>
      </c>
      <c r="N68" s="2">
        <f>Tableau1434567[[#This Row],[Moyen de Maitrise]]*Tableau1434567[[#This Row],[Priorité initiale]]</f>
        <v>4</v>
      </c>
      <c r="O68" s="17" t="str">
        <f>IF(AND(N68&gt;=0,N68&lt;4),"P3",IF(AND(N68&gt;=4,N68&lt;=8),"P2",IF(N68&gt;8,"P1","")))</f>
        <v>P2</v>
      </c>
      <c r="P68" s="10" t="s">
        <v>674</v>
      </c>
      <c r="Q68" s="38"/>
      <c r="R68" s="38"/>
      <c r="S68" s="46">
        <v>44719</v>
      </c>
      <c r="T68" s="38"/>
    </row>
    <row r="69" spans="1:20" ht="60" x14ac:dyDescent="0.25">
      <c r="A69" s="10" t="s">
        <v>751</v>
      </c>
      <c r="B69" s="10" t="s">
        <v>752</v>
      </c>
      <c r="C69" s="10" t="s">
        <v>753</v>
      </c>
      <c r="D69" s="15">
        <v>8</v>
      </c>
      <c r="E69" s="10" t="s">
        <v>184</v>
      </c>
      <c r="F69" s="10" t="s">
        <v>183</v>
      </c>
      <c r="G69" s="34" t="s">
        <v>182</v>
      </c>
      <c r="H69" s="36" t="s">
        <v>755</v>
      </c>
      <c r="I69" s="38">
        <v>1</v>
      </c>
      <c r="J69" s="38">
        <v>4</v>
      </c>
      <c r="K69" s="39">
        <f>I69*J69</f>
        <v>4</v>
      </c>
      <c r="L69" s="36" t="s">
        <v>774</v>
      </c>
      <c r="M69" s="38">
        <v>1</v>
      </c>
      <c r="N69" s="41">
        <f>K69*M69</f>
        <v>4</v>
      </c>
      <c r="O69" s="17" t="str">
        <f>IF(AND(N69&gt;=0,N69&lt;4),"P3",IF(AND(N69&gt;=4,N69&lt;=8),"P2",IF(N69&gt;8,"P1","")))</f>
        <v>P2</v>
      </c>
      <c r="P69" s="10" t="s">
        <v>774</v>
      </c>
      <c r="Q69" s="36"/>
      <c r="R69" s="38"/>
      <c r="S69" s="46">
        <v>45172</v>
      </c>
      <c r="T69" s="38"/>
    </row>
    <row r="70" spans="1:20" ht="30" x14ac:dyDescent="0.25">
      <c r="A70" s="10" t="s">
        <v>490</v>
      </c>
      <c r="B70" s="10" t="s">
        <v>491</v>
      </c>
      <c r="C70" s="10" t="s">
        <v>500</v>
      </c>
      <c r="D70" s="15">
        <v>11</v>
      </c>
      <c r="E70" s="10" t="s">
        <v>168</v>
      </c>
      <c r="F70" s="10" t="s">
        <v>352</v>
      </c>
      <c r="G70" s="4" t="s">
        <v>170</v>
      </c>
      <c r="H70" s="6" t="s">
        <v>493</v>
      </c>
      <c r="I70" s="1">
        <v>3</v>
      </c>
      <c r="J70" s="1">
        <v>3</v>
      </c>
      <c r="K70" s="16">
        <f>Tableau1434567[[#This Row],[Fréquence]]*Tableau1434567[[#This Row],[Gravité]]</f>
        <v>9</v>
      </c>
      <c r="L70" s="6" t="s">
        <v>534</v>
      </c>
      <c r="M70" s="1">
        <v>0.5</v>
      </c>
      <c r="N70" s="2">
        <f>Tableau1434567[[#This Row],[Moyen de Maitrise]]*Tableau1434567[[#This Row],[Priorité initiale]]</f>
        <v>4.5</v>
      </c>
      <c r="O70" s="17" t="str">
        <f>IF(AND(N70&gt;=0,N70&lt;4),"P3",IF(AND(N70&gt;=4,N70&lt;=8),"P2",IF(N70&gt;8,"P1","")))</f>
        <v>P2</v>
      </c>
      <c r="P70" s="10" t="s">
        <v>535</v>
      </c>
      <c r="Q70" s="18" t="s">
        <v>167</v>
      </c>
      <c r="R70" s="18"/>
      <c r="S70" s="6"/>
    </row>
    <row r="71" spans="1:20" ht="30" x14ac:dyDescent="0.25">
      <c r="A71" s="10" t="s">
        <v>490</v>
      </c>
      <c r="B71" s="10" t="s">
        <v>491</v>
      </c>
      <c r="C71" s="10" t="s">
        <v>492</v>
      </c>
      <c r="D71" s="15">
        <v>11</v>
      </c>
      <c r="E71" s="10" t="s">
        <v>168</v>
      </c>
      <c r="F71" s="10" t="s">
        <v>169</v>
      </c>
      <c r="G71" s="4" t="s">
        <v>170</v>
      </c>
      <c r="H71" s="6" t="s">
        <v>493</v>
      </c>
      <c r="I71" s="1">
        <v>3</v>
      </c>
      <c r="J71" s="1">
        <v>3</v>
      </c>
      <c r="K71" s="16">
        <f>Tableau1434567[[#This Row],[Fréquence]]*Tableau1434567[[#This Row],[Gravité]]</f>
        <v>9</v>
      </c>
      <c r="L71" s="6" t="s">
        <v>534</v>
      </c>
      <c r="M71" s="1">
        <v>0.5</v>
      </c>
      <c r="N71" s="2">
        <f>Tableau1434567[[#This Row],[Moyen de Maitrise]]*Tableau1434567[[#This Row],[Priorité initiale]]</f>
        <v>4.5</v>
      </c>
      <c r="O71" s="17" t="str">
        <f>IF(AND(N71&gt;=0,N71&lt;4),"P3",IF(AND(N71&gt;=4,N71&lt;=8),"P2",IF(N71&gt;8,"P1","")))</f>
        <v>P2</v>
      </c>
      <c r="P71" s="10" t="s">
        <v>535</v>
      </c>
      <c r="Q71" s="18" t="s">
        <v>167</v>
      </c>
      <c r="R71" s="18"/>
      <c r="S71" s="6"/>
    </row>
    <row r="72" spans="1:20" ht="60" x14ac:dyDescent="0.25">
      <c r="A72" s="10" t="s">
        <v>490</v>
      </c>
      <c r="B72" s="10" t="s">
        <v>491</v>
      </c>
      <c r="C72" s="10" t="s">
        <v>495</v>
      </c>
      <c r="D72" s="15">
        <v>12</v>
      </c>
      <c r="E72" s="10" t="s">
        <v>165</v>
      </c>
      <c r="F72" s="10" t="s">
        <v>164</v>
      </c>
      <c r="G72" s="4" t="s">
        <v>552</v>
      </c>
      <c r="H72" s="6" t="s">
        <v>493</v>
      </c>
      <c r="I72" s="1">
        <v>2</v>
      </c>
      <c r="J72" s="1">
        <v>2</v>
      </c>
      <c r="K72" s="16">
        <f>Tableau1434567[[#This Row],[Fréquence]]*Tableau1434567[[#This Row],[Gravité]]</f>
        <v>4</v>
      </c>
      <c r="L72" s="6" t="s">
        <v>496</v>
      </c>
      <c r="M72" s="1">
        <v>1</v>
      </c>
      <c r="N72" s="2">
        <f>Tableau1434567[[#This Row],[Moyen de Maitrise]]*Tableau1434567[[#This Row],[Priorité initiale]]</f>
        <v>4</v>
      </c>
      <c r="O72" s="17" t="str">
        <f>IF(AND(N72&gt;=0,N72&lt;4),"P3",IF(AND(N72&gt;=4,N72&lt;=8),"P2",IF(N72&gt;8,"P1","")))</f>
        <v>P2</v>
      </c>
      <c r="P72" s="10" t="s">
        <v>496</v>
      </c>
    </row>
    <row r="73" spans="1:20" ht="75" x14ac:dyDescent="0.25">
      <c r="A73" s="10" t="s">
        <v>490</v>
      </c>
      <c r="B73" s="10" t="s">
        <v>491</v>
      </c>
      <c r="C73" s="10" t="s">
        <v>500</v>
      </c>
      <c r="D73" s="15">
        <v>12</v>
      </c>
      <c r="E73" s="10" t="s">
        <v>165</v>
      </c>
      <c r="F73" s="10" t="s">
        <v>164</v>
      </c>
      <c r="G73" s="4" t="s">
        <v>552</v>
      </c>
      <c r="H73" s="6" t="s">
        <v>493</v>
      </c>
      <c r="I73" s="1">
        <v>2</v>
      </c>
      <c r="J73" s="1">
        <v>2</v>
      </c>
      <c r="K73" s="16">
        <f>Tableau1434567[[#This Row],[Fréquence]]*Tableau1434567[[#This Row],[Gravité]]</f>
        <v>4</v>
      </c>
      <c r="L73" s="6" t="s">
        <v>553</v>
      </c>
      <c r="M73" s="1">
        <v>1</v>
      </c>
      <c r="N73" s="2">
        <f>Tableau1434567[[#This Row],[Moyen de Maitrise]]*Tableau1434567[[#This Row],[Priorité initiale]]</f>
        <v>4</v>
      </c>
      <c r="O73" s="17" t="str">
        <f>IF(AND(N73&gt;=0,N73&lt;4),"P3",IF(AND(N73&gt;=4,N73&lt;=8),"P2",IF(N73&gt;8,"P1","")))</f>
        <v>P2</v>
      </c>
      <c r="P73" s="10" t="s">
        <v>554</v>
      </c>
    </row>
    <row r="74" spans="1:20" ht="75" x14ac:dyDescent="0.25">
      <c r="A74" s="10" t="s">
        <v>614</v>
      </c>
      <c r="B74" s="10" t="s">
        <v>615</v>
      </c>
      <c r="C74" s="10" t="s">
        <v>668</v>
      </c>
      <c r="D74" s="15">
        <v>12</v>
      </c>
      <c r="E74" s="10" t="s">
        <v>165</v>
      </c>
      <c r="F74" s="10" t="s">
        <v>164</v>
      </c>
      <c r="G74" s="4" t="s">
        <v>552</v>
      </c>
      <c r="H74" s="6" t="s">
        <v>617</v>
      </c>
      <c r="I74" s="1">
        <v>2</v>
      </c>
      <c r="J74" s="1">
        <v>2</v>
      </c>
      <c r="K74" s="16">
        <f>Tableau1434567[[#This Row],[Fréquence]]*Tableau1434567[[#This Row],[Gravité]]</f>
        <v>4</v>
      </c>
      <c r="L74" s="6" t="s">
        <v>669</v>
      </c>
      <c r="M74" s="1">
        <v>1</v>
      </c>
      <c r="N74" s="2">
        <f>Tableau1434567[[#This Row],[Moyen de Maitrise]]*Tableau1434567[[#This Row],[Priorité initiale]]</f>
        <v>4</v>
      </c>
      <c r="O74" s="17" t="str">
        <f>IF(AND(N74&gt;=0,N74&lt;4),"P3",IF(AND(N74&gt;=4,N74&lt;=8),"P2",IF(N74&gt;8,"P1","")))</f>
        <v>P2</v>
      </c>
      <c r="P74" s="10" t="s">
        <v>669</v>
      </c>
    </row>
    <row r="75" spans="1:20" ht="60" x14ac:dyDescent="0.25">
      <c r="A75" s="10" t="s">
        <v>614</v>
      </c>
      <c r="B75" s="10" t="s">
        <v>653</v>
      </c>
      <c r="C75" s="10" t="s">
        <v>654</v>
      </c>
      <c r="D75" s="15">
        <v>12</v>
      </c>
      <c r="E75" s="10" t="s">
        <v>165</v>
      </c>
      <c r="F75" s="10" t="s">
        <v>164</v>
      </c>
      <c r="G75" s="4" t="s">
        <v>552</v>
      </c>
      <c r="H75" s="6" t="s">
        <v>655</v>
      </c>
      <c r="I75" s="1">
        <v>2</v>
      </c>
      <c r="J75" s="1">
        <v>2</v>
      </c>
      <c r="K75" s="16">
        <f>Tableau1434567[[#This Row],[Fréquence]]*Tableau1434567[[#This Row],[Gravité]]</f>
        <v>4</v>
      </c>
      <c r="L75" s="6" t="s">
        <v>678</v>
      </c>
      <c r="M75" s="1">
        <v>1</v>
      </c>
      <c r="N75" s="2">
        <f>Tableau1434567[[#This Row],[Moyen de Maitrise]]*Tableau1434567[[#This Row],[Priorité initiale]]</f>
        <v>4</v>
      </c>
      <c r="O75" s="17" t="str">
        <f>IF(AND(N75&gt;=0,N75&lt;4),"P3",IF(AND(N75&gt;=4,N75&lt;=8),"P2",IF(N75&gt;8,"P1","")))</f>
        <v>P2</v>
      </c>
      <c r="P75" s="10" t="s">
        <v>679</v>
      </c>
    </row>
    <row r="76" spans="1:20" ht="30" x14ac:dyDescent="0.25">
      <c r="A76" s="10" t="s">
        <v>614</v>
      </c>
      <c r="B76" s="10" t="s">
        <v>615</v>
      </c>
      <c r="C76" s="10" t="s">
        <v>616</v>
      </c>
      <c r="D76" s="15">
        <v>12</v>
      </c>
      <c r="E76" s="10" t="s">
        <v>165</v>
      </c>
      <c r="F76" s="10" t="s">
        <v>680</v>
      </c>
      <c r="G76" s="4" t="s">
        <v>681</v>
      </c>
      <c r="H76" s="6" t="s">
        <v>617</v>
      </c>
      <c r="I76" s="1">
        <v>2</v>
      </c>
      <c r="J76" s="1">
        <v>4</v>
      </c>
      <c r="K76" s="16">
        <f>Tableau1434567[[#This Row],[Fréquence]]*Tableau1434567[[#This Row],[Gravité]]</f>
        <v>8</v>
      </c>
      <c r="L76" s="6" t="s">
        <v>682</v>
      </c>
      <c r="M76" s="1">
        <v>0.5</v>
      </c>
      <c r="N76" s="2">
        <f>Tableau1434567[[#This Row],[Moyen de Maitrise]]*Tableau1434567[[#This Row],[Priorité initiale]]</f>
        <v>4</v>
      </c>
      <c r="O76" s="17" t="str">
        <f>IF(AND(N76&gt;=0,N76&lt;4),"P3",IF(AND(N76&gt;=4,N76&lt;=8),"P2",IF(N76&gt;8,"P1","")))</f>
        <v>P2</v>
      </c>
      <c r="P76" s="10"/>
    </row>
    <row r="77" spans="1:20" ht="60" x14ac:dyDescent="0.25">
      <c r="A77" s="10" t="s">
        <v>614</v>
      </c>
      <c r="B77" s="10" t="s">
        <v>741</v>
      </c>
      <c r="C77" s="10" t="s">
        <v>742</v>
      </c>
      <c r="D77" s="15">
        <v>12</v>
      </c>
      <c r="E77" s="10" t="s">
        <v>165</v>
      </c>
      <c r="F77" s="10" t="s">
        <v>164</v>
      </c>
      <c r="G77" s="33" t="s">
        <v>552</v>
      </c>
      <c r="H77" s="35" t="s">
        <v>743</v>
      </c>
      <c r="I77" s="37">
        <v>2</v>
      </c>
      <c r="J77" s="37">
        <v>2</v>
      </c>
      <c r="K77" s="16">
        <f>Tableau1434567[[#This Row],[Fréquence]]*Tableau1434567[[#This Row],[Gravité]]</f>
        <v>4</v>
      </c>
      <c r="L77" s="35" t="s">
        <v>749</v>
      </c>
      <c r="M77" s="37">
        <v>1</v>
      </c>
      <c r="N77" s="2">
        <f>Tableau1434567[[#This Row],[Moyen de Maitrise]]*Tableau1434567[[#This Row],[Priorité initiale]]</f>
        <v>4</v>
      </c>
      <c r="O77" s="17" t="str">
        <f>IF(AND(N77&gt;=0,N77&lt;4),"P3",IF(AND(N77&gt;=4,N77&lt;=8),"P2",IF(N77&gt;8,"P1","")))</f>
        <v>P2</v>
      </c>
      <c r="P77" s="10" t="s">
        <v>679</v>
      </c>
      <c r="Q77" s="37"/>
      <c r="R77" s="37"/>
      <c r="S77" s="37"/>
      <c r="T77" s="37"/>
    </row>
    <row r="78" spans="1:20" ht="60" x14ac:dyDescent="0.25">
      <c r="A78" s="10" t="s">
        <v>751</v>
      </c>
      <c r="B78" s="10" t="s">
        <v>752</v>
      </c>
      <c r="C78" s="10" t="s">
        <v>753</v>
      </c>
      <c r="D78" s="15">
        <v>12</v>
      </c>
      <c r="E78" s="10" t="s">
        <v>165</v>
      </c>
      <c r="F78" s="10" t="s">
        <v>164</v>
      </c>
      <c r="G78" s="33" t="s">
        <v>552</v>
      </c>
      <c r="H78" s="35" t="s">
        <v>755</v>
      </c>
      <c r="I78" s="37">
        <v>2</v>
      </c>
      <c r="J78" s="37">
        <v>2</v>
      </c>
      <c r="K78" s="39">
        <f>I78*J78</f>
        <v>4</v>
      </c>
      <c r="L78" s="35" t="s">
        <v>774</v>
      </c>
      <c r="M78" s="37">
        <v>1</v>
      </c>
      <c r="N78" s="41">
        <f>K78*M78</f>
        <v>4</v>
      </c>
      <c r="O78" s="17" t="str">
        <f>IF(AND(N78&gt;=0,N78&lt;4),"P3",IF(AND(N78&gt;=4,N78&lt;=8),"P2",IF(N78&gt;8,"P1","")))</f>
        <v>P2</v>
      </c>
      <c r="P78" s="10" t="s">
        <v>774</v>
      </c>
      <c r="Q78" s="35"/>
      <c r="R78" s="37"/>
      <c r="S78" s="37"/>
      <c r="T78" s="37"/>
    </row>
    <row r="79" spans="1:20" ht="30" x14ac:dyDescent="0.25">
      <c r="A79" s="10" t="s">
        <v>490</v>
      </c>
      <c r="B79" s="10" t="s">
        <v>491</v>
      </c>
      <c r="C79" s="10" t="s">
        <v>500</v>
      </c>
      <c r="D79" s="15">
        <v>13</v>
      </c>
      <c r="E79" s="10" t="s">
        <v>160</v>
      </c>
      <c r="F79" s="10" t="s">
        <v>161</v>
      </c>
      <c r="G79" s="4" t="s">
        <v>555</v>
      </c>
      <c r="H79" s="6" t="s">
        <v>493</v>
      </c>
      <c r="I79" s="1">
        <v>2</v>
      </c>
      <c r="J79" s="1">
        <v>4</v>
      </c>
      <c r="K79" s="16">
        <f>Tableau1434567[[#This Row],[Fréquence]]*Tableau1434567[[#This Row],[Gravité]]</f>
        <v>8</v>
      </c>
      <c r="L79" s="6" t="s">
        <v>556</v>
      </c>
      <c r="M79" s="1">
        <v>0.5</v>
      </c>
      <c r="N79" s="2">
        <f>Tableau1434567[[#This Row],[Moyen de Maitrise]]*Tableau1434567[[#This Row],[Priorité initiale]]</f>
        <v>4</v>
      </c>
      <c r="O79" s="17" t="str">
        <f>IF(AND(N79&gt;=0,N79&lt;4),"P3",IF(AND(N79&gt;=4,N79&lt;=8),"P2",IF(N79&gt;8,"P1","")))</f>
        <v>P2</v>
      </c>
      <c r="P79" s="10"/>
      <c r="S79" s="14"/>
    </row>
    <row r="80" spans="1:20" ht="45" x14ac:dyDescent="0.25">
      <c r="A80" s="10" t="s">
        <v>614</v>
      </c>
      <c r="B80" s="10" t="s">
        <v>615</v>
      </c>
      <c r="C80" s="10" t="s">
        <v>616</v>
      </c>
      <c r="D80" s="15">
        <v>13</v>
      </c>
      <c r="E80" s="10" t="s">
        <v>160</v>
      </c>
      <c r="F80" s="10" t="s">
        <v>358</v>
      </c>
      <c r="G80" s="4" t="s">
        <v>659</v>
      </c>
      <c r="H80" s="6" t="s">
        <v>617</v>
      </c>
      <c r="I80" s="1">
        <v>2</v>
      </c>
      <c r="J80" s="1">
        <v>4</v>
      </c>
      <c r="K80" s="16">
        <f>Tableau1434567[[#This Row],[Fréquence]]*Tableau1434567[[#This Row],[Gravité]]</f>
        <v>8</v>
      </c>
      <c r="L80" s="6" t="s">
        <v>660</v>
      </c>
      <c r="M80" s="1">
        <v>0.5</v>
      </c>
      <c r="N80" s="2">
        <f>Tableau1434567[[#This Row],[Moyen de Maitrise]]*Tableau1434567[[#This Row],[Priorité initiale]]</f>
        <v>4</v>
      </c>
      <c r="O80" s="17" t="str">
        <f>IF(AND(N80&gt;=0,N80&lt;4),"P3",IF(AND(N80&gt;=4,N80&lt;=8),"P2",IF(N80&gt;8,"P1","")))</f>
        <v>P2</v>
      </c>
      <c r="P80" s="10" t="s">
        <v>643</v>
      </c>
      <c r="R80" s="14"/>
    </row>
    <row r="81" spans="1:20" ht="60" x14ac:dyDescent="0.25">
      <c r="A81" s="10" t="s">
        <v>305</v>
      </c>
      <c r="B81" s="10" t="s">
        <v>306</v>
      </c>
      <c r="C81" s="10" t="s">
        <v>307</v>
      </c>
      <c r="D81" s="15">
        <v>15</v>
      </c>
      <c r="E81" s="10" t="s">
        <v>155</v>
      </c>
      <c r="F81" s="10" t="s">
        <v>360</v>
      </c>
      <c r="G81" s="4" t="s">
        <v>361</v>
      </c>
      <c r="H81" s="6" t="s">
        <v>308</v>
      </c>
      <c r="I81" s="1">
        <v>2</v>
      </c>
      <c r="J81" s="1">
        <v>3</v>
      </c>
      <c r="K81" s="16">
        <f>Tableau1434567[[#This Row],[Fréquence]]*Tableau1434567[[#This Row],[Gravité]]</f>
        <v>6</v>
      </c>
      <c r="L81" s="6"/>
      <c r="M81" s="1">
        <v>1</v>
      </c>
      <c r="N81" s="2">
        <f>Tableau1434567[[#This Row],[Priorité initiale]]*Tableau1434567[[#This Row],[Moyen de Maitrise]]</f>
        <v>6</v>
      </c>
      <c r="O81" s="17" t="str">
        <f>IF(AND(N81&gt;=0,N81&lt;4),"P3",IF(AND(N81&gt;=4,N81&lt;=8),"P2",IF(N81&gt;8,"P1","")))</f>
        <v>P2</v>
      </c>
      <c r="P81" s="10" t="s">
        <v>362</v>
      </c>
      <c r="Q81" s="9"/>
      <c r="R81" s="14"/>
    </row>
    <row r="82" spans="1:20" ht="45" x14ac:dyDescent="0.25">
      <c r="A82" s="10" t="s">
        <v>490</v>
      </c>
      <c r="B82" s="10" t="s">
        <v>491</v>
      </c>
      <c r="C82" s="10" t="s">
        <v>492</v>
      </c>
      <c r="D82" s="15">
        <v>15</v>
      </c>
      <c r="E82" s="10" t="s">
        <v>155</v>
      </c>
      <c r="F82" s="10" t="s">
        <v>156</v>
      </c>
      <c r="G82" s="4" t="s">
        <v>157</v>
      </c>
      <c r="H82" s="6" t="s">
        <v>493</v>
      </c>
      <c r="I82" s="1">
        <v>2</v>
      </c>
      <c r="J82" s="1">
        <v>3</v>
      </c>
      <c r="K82" s="16">
        <f>Tableau1434567[[#This Row],[Fréquence]]*Tableau1434567[[#This Row],[Gravité]]</f>
        <v>6</v>
      </c>
      <c r="L82" s="6" t="s">
        <v>536</v>
      </c>
      <c r="M82" s="1">
        <v>0.75</v>
      </c>
      <c r="N82" s="2">
        <f>Tableau1434567[[#This Row],[Moyen de Maitrise]]*Tableau1434567[[#This Row],[Priorité initiale]]</f>
        <v>4.5</v>
      </c>
      <c r="O82" s="17" t="str">
        <f>IF(AND(N82&gt;=0,N82&lt;4),"P3",IF(AND(N82&gt;=4,N82&lt;=8),"P2",IF(N82&gt;8,"P1","")))</f>
        <v>P2</v>
      </c>
      <c r="P82" s="10" t="s">
        <v>537</v>
      </c>
    </row>
    <row r="83" spans="1:20" ht="45" x14ac:dyDescent="0.25">
      <c r="A83" s="10" t="s">
        <v>614</v>
      </c>
      <c r="B83" s="10" t="s">
        <v>615</v>
      </c>
      <c r="C83" s="10" t="s">
        <v>616</v>
      </c>
      <c r="D83" s="15">
        <v>15</v>
      </c>
      <c r="E83" s="10" t="s">
        <v>155</v>
      </c>
      <c r="F83" s="10" t="s">
        <v>636</v>
      </c>
      <c r="G83" s="4" t="s">
        <v>637</v>
      </c>
      <c r="H83" s="6" t="s">
        <v>617</v>
      </c>
      <c r="I83" s="1">
        <v>2</v>
      </c>
      <c r="J83" s="1">
        <v>3</v>
      </c>
      <c r="K83" s="16">
        <f>Tableau1434567[[#This Row],[Fréquence]]*Tableau1434567[[#This Row],[Gravité]]</f>
        <v>6</v>
      </c>
      <c r="L83" s="6" t="s">
        <v>638</v>
      </c>
      <c r="M83" s="1">
        <v>0.75</v>
      </c>
      <c r="N83" s="2">
        <f>Tableau1434567[[#This Row],[Moyen de Maitrise]]*Tableau1434567[[#This Row],[Priorité initiale]]</f>
        <v>4.5</v>
      </c>
      <c r="O83" s="17" t="str">
        <f>IF(AND(N83&gt;=0,N83&lt;4),"P3",IF(AND(N83&gt;=4,N83&lt;=8),"P2",IF(N83&gt;8,"P1","")))</f>
        <v>P2</v>
      </c>
      <c r="P83" s="10" t="s">
        <v>639</v>
      </c>
    </row>
    <row r="84" spans="1:20" ht="75" x14ac:dyDescent="0.25">
      <c r="A84" s="10" t="s">
        <v>490</v>
      </c>
      <c r="B84" s="10" t="s">
        <v>491</v>
      </c>
      <c r="C84" s="10" t="s">
        <v>495</v>
      </c>
      <c r="D84" s="15">
        <v>16</v>
      </c>
      <c r="E84" s="10" t="s">
        <v>142</v>
      </c>
      <c r="F84" s="10" t="s">
        <v>141</v>
      </c>
      <c r="G84" s="4" t="s">
        <v>140</v>
      </c>
      <c r="H84" s="6" t="s">
        <v>493</v>
      </c>
      <c r="I84" s="1">
        <v>2</v>
      </c>
      <c r="J84" s="1">
        <v>4</v>
      </c>
      <c r="K84" s="16">
        <f>Tableau1434567[[#This Row],[Fréquence]]*Tableau1434567[[#This Row],[Gravité]]</f>
        <v>8</v>
      </c>
      <c r="L84" s="6" t="s">
        <v>496</v>
      </c>
      <c r="M84" s="1">
        <v>1</v>
      </c>
      <c r="N84" s="2">
        <f>Tableau1434567[[#This Row],[Moyen de Maitrise]]*Tableau1434567[[#This Row],[Priorité initiale]]</f>
        <v>8</v>
      </c>
      <c r="O84" s="17" t="str">
        <f>IF(AND(N84&gt;=0,N84&lt;4),"P3",IF(AND(N84&gt;=4,N84&lt;=8),"P2",IF(N84&gt;8,"P1","")))</f>
        <v>P2</v>
      </c>
      <c r="P84" s="10" t="s">
        <v>497</v>
      </c>
      <c r="R84" s="9">
        <v>46090</v>
      </c>
      <c r="S84" s="14">
        <v>45379</v>
      </c>
    </row>
    <row r="85" spans="1:20" ht="105" x14ac:dyDescent="0.25">
      <c r="A85" s="10" t="s">
        <v>490</v>
      </c>
      <c r="B85" s="10" t="s">
        <v>491</v>
      </c>
      <c r="C85" s="10" t="s">
        <v>492</v>
      </c>
      <c r="D85" s="15">
        <v>16</v>
      </c>
      <c r="E85" s="10" t="s">
        <v>142</v>
      </c>
      <c r="F85" s="10" t="s">
        <v>143</v>
      </c>
      <c r="G85" s="4" t="s">
        <v>144</v>
      </c>
      <c r="H85" s="6" t="s">
        <v>493</v>
      </c>
      <c r="I85" s="1">
        <v>2</v>
      </c>
      <c r="J85" s="1">
        <v>4</v>
      </c>
      <c r="K85" s="16">
        <f>Tableau1434567[[#This Row],[Fréquence]]*Tableau1434567[[#This Row],[Gravité]]</f>
        <v>8</v>
      </c>
      <c r="L85" s="6" t="s">
        <v>517</v>
      </c>
      <c r="M85" s="1">
        <v>0.75</v>
      </c>
      <c r="N85" s="2">
        <f>Tableau1434567[[#This Row],[Moyen de Maitrise]]*Tableau1434567[[#This Row],[Priorité initiale]]</f>
        <v>6</v>
      </c>
      <c r="O85" s="17" t="str">
        <f>IF(AND(N85&gt;=0,N85&lt;4),"P3",IF(AND(N85&gt;=4,N85&lt;=8),"P2",IF(N85&gt;8,"P1","")))</f>
        <v>P2</v>
      </c>
      <c r="P85" s="10" t="s">
        <v>518</v>
      </c>
      <c r="R85" s="9">
        <v>46090</v>
      </c>
      <c r="S85" s="14"/>
    </row>
    <row r="86" spans="1:20" ht="105" x14ac:dyDescent="0.25">
      <c r="A86" s="10" t="s">
        <v>614</v>
      </c>
      <c r="B86" s="10" t="s">
        <v>653</v>
      </c>
      <c r="C86" s="10" t="s">
        <v>654</v>
      </c>
      <c r="D86" s="15">
        <v>16</v>
      </c>
      <c r="E86" s="10" t="s">
        <v>142</v>
      </c>
      <c r="F86" s="10" t="s">
        <v>141</v>
      </c>
      <c r="G86" s="4" t="s">
        <v>140</v>
      </c>
      <c r="H86" s="6" t="s">
        <v>655</v>
      </c>
      <c r="I86" s="1">
        <v>1</v>
      </c>
      <c r="J86" s="1">
        <v>4</v>
      </c>
      <c r="K86" s="16">
        <f>Tableau1434567[[#This Row],[Fréquence]]*Tableau1434567[[#This Row],[Gravité]]</f>
        <v>4</v>
      </c>
      <c r="L86" s="6" t="s">
        <v>656</v>
      </c>
      <c r="M86" s="1">
        <v>1</v>
      </c>
      <c r="N86" s="2">
        <f>Tableau1434567[[#This Row],[Moyen de Maitrise]]*Tableau1434567[[#This Row],[Priorité initiale]]</f>
        <v>4</v>
      </c>
      <c r="O86" s="17" t="str">
        <f>IF(AND(N86&gt;=0,N86&lt;4),"P3",IF(AND(N86&gt;=4,N86&lt;=8),"P2",IF(N86&gt;8,"P1","")))</f>
        <v>P2</v>
      </c>
      <c r="P86" s="10" t="s">
        <v>657</v>
      </c>
      <c r="R86" s="14">
        <v>45379</v>
      </c>
    </row>
    <row r="87" spans="1:20" ht="60" x14ac:dyDescent="0.25">
      <c r="A87" s="10" t="s">
        <v>751</v>
      </c>
      <c r="B87" s="10" t="s">
        <v>752</v>
      </c>
      <c r="C87" s="10" t="s">
        <v>753</v>
      </c>
      <c r="D87" s="15">
        <v>16</v>
      </c>
      <c r="E87" s="10" t="s">
        <v>142</v>
      </c>
      <c r="F87" s="10" t="s">
        <v>141</v>
      </c>
      <c r="G87" s="33" t="s">
        <v>140</v>
      </c>
      <c r="H87" s="35" t="s">
        <v>755</v>
      </c>
      <c r="I87" s="37">
        <v>1</v>
      </c>
      <c r="J87" s="37">
        <v>4</v>
      </c>
      <c r="K87" s="39">
        <f>I87*J87</f>
        <v>4</v>
      </c>
      <c r="L87" s="35" t="s">
        <v>774</v>
      </c>
      <c r="M87" s="37">
        <v>1</v>
      </c>
      <c r="N87" s="41">
        <f>K87*M87</f>
        <v>4</v>
      </c>
      <c r="O87" s="17" t="str">
        <f>IF(AND(N87&gt;=0,N87&lt;4),"P3",IF(AND(N87&gt;=4,N87&lt;=8),"P2",IF(N87&gt;8,"P1","")))</f>
        <v>P2</v>
      </c>
      <c r="P87" s="10" t="s">
        <v>775</v>
      </c>
      <c r="Q87" s="43">
        <v>46090</v>
      </c>
      <c r="R87" s="37"/>
      <c r="S87" s="45">
        <v>45379</v>
      </c>
      <c r="T87" s="37"/>
    </row>
    <row r="88" spans="1:20" ht="30" x14ac:dyDescent="0.25">
      <c r="A88" s="10" t="s">
        <v>305</v>
      </c>
      <c r="B88" s="10" t="s">
        <v>306</v>
      </c>
      <c r="C88" s="10" t="s">
        <v>307</v>
      </c>
      <c r="D88" s="15">
        <v>18</v>
      </c>
      <c r="E88" s="10" t="s">
        <v>129</v>
      </c>
      <c r="F88" s="10" t="s">
        <v>130</v>
      </c>
      <c r="G88" s="4" t="s">
        <v>376</v>
      </c>
      <c r="H88" s="6" t="s">
        <v>308</v>
      </c>
      <c r="I88" s="1">
        <v>3</v>
      </c>
      <c r="J88" s="1">
        <v>4</v>
      </c>
      <c r="K88" s="16">
        <f>Tableau1434567[[#This Row],[Fréquence]]*Tableau1434567[[#This Row],[Gravité]]</f>
        <v>12</v>
      </c>
      <c r="L88" s="6" t="s">
        <v>377</v>
      </c>
      <c r="M88" s="1">
        <v>0.5</v>
      </c>
      <c r="N88" s="2">
        <f>Tableau1434567[[#This Row],[Priorité initiale]]*Tableau1434567[[#This Row],[Moyen de Maitrise]]</f>
        <v>6</v>
      </c>
      <c r="O88" s="17" t="str">
        <f>IF(AND(N88&gt;=0,N88&lt;4),"P3",IF(AND(N88&gt;=4,N88&lt;=8),"P2",IF(N88&gt;8,"P1","")))</f>
        <v>P2</v>
      </c>
      <c r="P88" s="10"/>
      <c r="Q88" s="9"/>
      <c r="R88" s="14"/>
    </row>
    <row r="89" spans="1:20" ht="30" x14ac:dyDescent="0.25">
      <c r="A89" s="10" t="s">
        <v>305</v>
      </c>
      <c r="B89" s="10" t="s">
        <v>306</v>
      </c>
      <c r="C89" s="10" t="s">
        <v>307</v>
      </c>
      <c r="D89" s="15">
        <v>18</v>
      </c>
      <c r="E89" s="10" t="s">
        <v>129</v>
      </c>
      <c r="F89" s="10" t="s">
        <v>378</v>
      </c>
      <c r="G89" s="4" t="s">
        <v>379</v>
      </c>
      <c r="H89" s="6" t="s">
        <v>308</v>
      </c>
      <c r="I89" s="1">
        <v>3</v>
      </c>
      <c r="J89" s="1">
        <v>3</v>
      </c>
      <c r="K89" s="16">
        <f>Tableau1434567[[#This Row],[Fréquence]]*Tableau1434567[[#This Row],[Gravité]]</f>
        <v>9</v>
      </c>
      <c r="L89" s="6" t="s">
        <v>380</v>
      </c>
      <c r="M89" s="1">
        <v>0.5</v>
      </c>
      <c r="N89" s="2">
        <f>Tableau1434567[[#This Row],[Priorité initiale]]*Tableau1434567[[#This Row],[Moyen de Maitrise]]</f>
        <v>4.5</v>
      </c>
      <c r="O89" s="17" t="str">
        <f>IF(AND(N89&gt;=0,N89&lt;4),"P3",IF(AND(N89&gt;=4,N89&lt;=8),"P2",IF(N89&gt;8,"P1","")))</f>
        <v>P2</v>
      </c>
      <c r="P89" s="10"/>
      <c r="Q89" s="9"/>
    </row>
    <row r="90" spans="1:20" ht="60" x14ac:dyDescent="0.25">
      <c r="A90" s="10" t="s">
        <v>614</v>
      </c>
      <c r="B90" s="10" t="s">
        <v>615</v>
      </c>
      <c r="C90" s="10" t="s">
        <v>616</v>
      </c>
      <c r="D90" s="15">
        <v>19</v>
      </c>
      <c r="E90" s="10" t="s">
        <v>127</v>
      </c>
      <c r="F90" s="10" t="s">
        <v>126</v>
      </c>
      <c r="G90" s="4" t="s">
        <v>641</v>
      </c>
      <c r="H90" s="6" t="s">
        <v>617</v>
      </c>
      <c r="I90" s="1">
        <v>3</v>
      </c>
      <c r="J90" s="1">
        <v>3</v>
      </c>
      <c r="K90" s="16">
        <f>Tableau1434567[[#This Row],[Fréquence]]*Tableau1434567[[#This Row],[Gravité]]</f>
        <v>9</v>
      </c>
      <c r="L90" s="6" t="s">
        <v>642</v>
      </c>
      <c r="M90" s="1">
        <v>0.5</v>
      </c>
      <c r="N90" s="2">
        <f>Tableau1434567[[#This Row],[Moyen de Maitrise]]*Tableau1434567[[#This Row],[Priorité initiale]]</f>
        <v>4.5</v>
      </c>
      <c r="O90" s="17" t="str">
        <f>IF(AND(N90&gt;=0,N90&lt;4),"P3",IF(AND(N90&gt;=4,N90&lt;=8),"P2",IF(N90&gt;8,"P1","")))</f>
        <v>P2</v>
      </c>
      <c r="P90" s="10" t="s">
        <v>643</v>
      </c>
    </row>
    <row r="91" spans="1:20" ht="45" x14ac:dyDescent="0.25">
      <c r="A91" s="10" t="s">
        <v>614</v>
      </c>
      <c r="B91" s="10" t="s">
        <v>615</v>
      </c>
      <c r="C91" s="10" t="s">
        <v>616</v>
      </c>
      <c r="D91" s="15">
        <v>20</v>
      </c>
      <c r="E91" s="10" t="s">
        <v>122</v>
      </c>
      <c r="F91" s="10" t="s">
        <v>390</v>
      </c>
      <c r="G91" s="4" t="s">
        <v>627</v>
      </c>
      <c r="H91" s="6" t="s">
        <v>617</v>
      </c>
      <c r="I91" s="1">
        <v>3</v>
      </c>
      <c r="J91" s="1">
        <v>4</v>
      </c>
      <c r="K91" s="16">
        <f>Tableau1434567[[#This Row],[Fréquence]]*Tableau1434567[[#This Row],[Gravité]]</f>
        <v>12</v>
      </c>
      <c r="L91" s="6" t="s">
        <v>628</v>
      </c>
      <c r="M91" s="1">
        <v>0.5</v>
      </c>
      <c r="N91" s="2">
        <f>Tableau1434567[[#This Row],[Moyen de Maitrise]]*Tableau1434567[[#This Row],[Priorité initiale]]</f>
        <v>6</v>
      </c>
      <c r="O91" s="17" t="str">
        <f>IF(AND(N91&gt;=0,N91&lt;4),"P3",IF(AND(N91&gt;=4,N91&lt;=8),"P2",IF(N91&gt;8,"P1","")))</f>
        <v>P2</v>
      </c>
      <c r="P91" s="10"/>
    </row>
    <row r="92" spans="1:20" ht="75" x14ac:dyDescent="0.25">
      <c r="A92" s="10" t="s">
        <v>490</v>
      </c>
      <c r="B92" s="10" t="s">
        <v>491</v>
      </c>
      <c r="C92" s="10" t="s">
        <v>492</v>
      </c>
      <c r="D92" s="15">
        <v>21</v>
      </c>
      <c r="E92" s="10" t="s">
        <v>118</v>
      </c>
      <c r="F92" s="10" t="s">
        <v>120</v>
      </c>
      <c r="G92" s="4" t="s">
        <v>50</v>
      </c>
      <c r="H92" s="6" t="s">
        <v>493</v>
      </c>
      <c r="I92" s="1">
        <v>2</v>
      </c>
      <c r="J92" s="1">
        <v>4</v>
      </c>
      <c r="K92" s="16">
        <f>Tableau1434567[[#This Row],[Fréquence]]*Tableau1434567[[#This Row],[Gravité]]</f>
        <v>8</v>
      </c>
      <c r="L92" s="6" t="s">
        <v>119</v>
      </c>
      <c r="M92" s="1">
        <v>0.5</v>
      </c>
      <c r="N92" s="2">
        <f>Tableau1434567[[#This Row],[Moyen de Maitrise]]*Tableau1434567[[#This Row],[Priorité initiale]]</f>
        <v>4</v>
      </c>
      <c r="O92" s="17" t="str">
        <f>IF(AND(N92&gt;=0,N92&lt;4),"P3",IF(AND(N92&gt;=4,N92&lt;=8),"P2",IF(N92&gt;8,"P1","")))</f>
        <v>P2</v>
      </c>
      <c r="P92" s="10" t="s">
        <v>557</v>
      </c>
    </row>
    <row r="93" spans="1:20" ht="45" x14ac:dyDescent="0.25">
      <c r="A93" s="10" t="s">
        <v>614</v>
      </c>
      <c r="B93" s="10" t="s">
        <v>615</v>
      </c>
      <c r="C93" s="10" t="s">
        <v>616</v>
      </c>
      <c r="D93" s="15">
        <v>21</v>
      </c>
      <c r="E93" s="10" t="s">
        <v>118</v>
      </c>
      <c r="F93" s="10" t="s">
        <v>661</v>
      </c>
      <c r="G93" s="4" t="s">
        <v>662</v>
      </c>
      <c r="H93" s="6" t="s">
        <v>617</v>
      </c>
      <c r="I93" s="1">
        <v>2</v>
      </c>
      <c r="J93" s="1">
        <v>4</v>
      </c>
      <c r="K93" s="16">
        <f>Tableau1434567[[#This Row],[Fréquence]]*Tableau1434567[[#This Row],[Gravité]]</f>
        <v>8</v>
      </c>
      <c r="L93" s="6" t="s">
        <v>663</v>
      </c>
      <c r="M93" s="1">
        <v>0.5</v>
      </c>
      <c r="N93" s="2">
        <f>Tableau1434567[[#This Row],[Moyen de Maitrise]]*Tableau1434567[[#This Row],[Priorité initiale]]</f>
        <v>4</v>
      </c>
      <c r="O93" s="17" t="str">
        <f>IF(AND(N93&gt;=0,N93&lt;4),"P3",IF(AND(N93&gt;=4,N93&lt;=8),"P2",IF(N93&gt;8,"P1","")))</f>
        <v>P2</v>
      </c>
      <c r="P93" s="10"/>
    </row>
    <row r="94" spans="1:20" ht="45" x14ac:dyDescent="0.25">
      <c r="A94" s="10" t="s">
        <v>751</v>
      </c>
      <c r="B94" s="10" t="s">
        <v>752</v>
      </c>
      <c r="C94" s="10" t="s">
        <v>779</v>
      </c>
      <c r="D94" s="15">
        <v>21</v>
      </c>
      <c r="E94" s="10" t="s">
        <v>118</v>
      </c>
      <c r="F94" s="4" t="s">
        <v>837</v>
      </c>
      <c r="G94" s="4" t="s">
        <v>791</v>
      </c>
      <c r="H94" s="4" t="s">
        <v>755</v>
      </c>
      <c r="I94" s="1">
        <v>2</v>
      </c>
      <c r="J94" s="1">
        <v>4</v>
      </c>
      <c r="K94" s="16">
        <f>Tableau1434567[[#This Row],[Fréquence]]*Tableau1434567[[#This Row],[Gravité]]</f>
        <v>8</v>
      </c>
      <c r="L94" s="4" t="s">
        <v>792</v>
      </c>
      <c r="M94" s="1">
        <v>0.75</v>
      </c>
      <c r="N94" s="2">
        <f>Tableau1434567[[#This Row],[Moyen de Maitrise]]*Tableau1434567[[#This Row],[Priorité initiale]]</f>
        <v>6</v>
      </c>
      <c r="O94" s="17" t="s">
        <v>845</v>
      </c>
      <c r="P94" s="4" t="s">
        <v>793</v>
      </c>
    </row>
    <row r="95" spans="1:20" ht="45" x14ac:dyDescent="0.25">
      <c r="A95" s="10" t="s">
        <v>614</v>
      </c>
      <c r="B95" s="10" t="s">
        <v>615</v>
      </c>
      <c r="C95" s="10" t="s">
        <v>616</v>
      </c>
      <c r="D95" s="15">
        <v>21</v>
      </c>
      <c r="E95" s="10" t="s">
        <v>118</v>
      </c>
      <c r="F95" s="4" t="s">
        <v>837</v>
      </c>
      <c r="G95" s="4" t="s">
        <v>662</v>
      </c>
      <c r="H95" s="4" t="s">
        <v>617</v>
      </c>
      <c r="I95" s="1">
        <v>2</v>
      </c>
      <c r="J95" s="1">
        <v>4</v>
      </c>
      <c r="K95" s="16">
        <f>Tableau1434567[[#This Row],[Fréquence]]*Tableau1434567[[#This Row],[Gravité]]</f>
        <v>8</v>
      </c>
      <c r="L95" s="4" t="s">
        <v>841</v>
      </c>
      <c r="M95" s="1">
        <v>0.75</v>
      </c>
      <c r="N95" s="2">
        <f>Tableau1434567[[#This Row],[Moyen de Maitrise]]*Tableau1434567[[#This Row],[Priorité initiale]]</f>
        <v>6</v>
      </c>
      <c r="O95" s="17" t="s">
        <v>845</v>
      </c>
      <c r="P95" s="4" t="s">
        <v>723</v>
      </c>
    </row>
    <row r="96" spans="1:20" ht="105" x14ac:dyDescent="0.25">
      <c r="A96" s="10" t="s">
        <v>305</v>
      </c>
      <c r="B96" s="10" t="s">
        <v>306</v>
      </c>
      <c r="C96" s="10" t="s">
        <v>307</v>
      </c>
      <c r="D96" s="15">
        <v>22</v>
      </c>
      <c r="E96" s="10" t="s">
        <v>470</v>
      </c>
      <c r="F96" s="10" t="s">
        <v>471</v>
      </c>
      <c r="G96" s="4" t="s">
        <v>395</v>
      </c>
      <c r="H96" s="6" t="s">
        <v>308</v>
      </c>
      <c r="I96" s="1">
        <v>3</v>
      </c>
      <c r="J96" s="1">
        <v>3</v>
      </c>
      <c r="K96" s="16">
        <f>Tableau1434567[[#This Row],[Fréquence]]*Tableau1434567[[#This Row],[Gravité]]</f>
        <v>9</v>
      </c>
      <c r="L96" s="6" t="s">
        <v>472</v>
      </c>
      <c r="M96" s="1">
        <v>0.75</v>
      </c>
      <c r="N96" s="2">
        <f>Tableau1434567[[#This Row],[Priorité initiale]]*Tableau1434567[[#This Row],[Moyen de Maitrise]]</f>
        <v>6.75</v>
      </c>
      <c r="O96" s="17" t="str">
        <f>IF(AND(N96&gt;=0,N96&lt;4),"P3",IF(AND(N96&gt;=4,N96&lt;=8),"P2",IF(N96&gt;8,"P1","")))</f>
        <v>P2</v>
      </c>
      <c r="P96" s="10" t="s">
        <v>473</v>
      </c>
      <c r="Q96" s="9"/>
      <c r="R96" s="14"/>
    </row>
    <row r="97" spans="1:20" ht="90" x14ac:dyDescent="0.25">
      <c r="A97" s="10" t="s">
        <v>305</v>
      </c>
      <c r="B97" s="10" t="s">
        <v>306</v>
      </c>
      <c r="C97" s="10" t="s">
        <v>307</v>
      </c>
      <c r="D97" s="15">
        <v>22</v>
      </c>
      <c r="E97" s="10" t="s">
        <v>470</v>
      </c>
      <c r="F97" s="10" t="s">
        <v>474</v>
      </c>
      <c r="G97" s="4" t="s">
        <v>395</v>
      </c>
      <c r="H97" s="6" t="s">
        <v>308</v>
      </c>
      <c r="I97" s="1">
        <v>3</v>
      </c>
      <c r="J97" s="1">
        <v>3</v>
      </c>
      <c r="K97" s="16">
        <f>Tableau1434567[[#This Row],[Fréquence]]*Tableau1434567[[#This Row],[Gravité]]</f>
        <v>9</v>
      </c>
      <c r="L97" s="6" t="s">
        <v>475</v>
      </c>
      <c r="M97" s="1">
        <v>0.75</v>
      </c>
      <c r="N97" s="2">
        <f>Tableau1434567[[#This Row],[Priorité initiale]]*Tableau1434567[[#This Row],[Moyen de Maitrise]]</f>
        <v>6.75</v>
      </c>
      <c r="O97" s="17" t="str">
        <f>IF(AND(N97&gt;=0,N97&lt;4),"P3",IF(AND(N97&gt;=4,N97&lt;=8),"P2",IF(N97&gt;8,"P1","")))</f>
        <v>P2</v>
      </c>
      <c r="P97" s="10"/>
      <c r="Q97" s="9"/>
    </row>
    <row r="98" spans="1:20" ht="135" x14ac:dyDescent="0.25">
      <c r="A98" s="10" t="s">
        <v>490</v>
      </c>
      <c r="B98" s="10" t="s">
        <v>491</v>
      </c>
      <c r="C98" s="10" t="s">
        <v>492</v>
      </c>
      <c r="D98" s="15">
        <v>22</v>
      </c>
      <c r="E98" s="10" t="s">
        <v>470</v>
      </c>
      <c r="F98" s="10" t="s">
        <v>116</v>
      </c>
      <c r="G98" s="4" t="s">
        <v>115</v>
      </c>
      <c r="H98" s="6" t="s">
        <v>493</v>
      </c>
      <c r="I98" s="1">
        <v>2</v>
      </c>
      <c r="J98" s="1">
        <v>4</v>
      </c>
      <c r="K98" s="16">
        <f>Tableau1434567[[#This Row],[Fréquence]]*Tableau1434567[[#This Row],[Gravité]]</f>
        <v>8</v>
      </c>
      <c r="L98" s="6" t="s">
        <v>544</v>
      </c>
      <c r="M98" s="1">
        <v>0.5</v>
      </c>
      <c r="N98" s="2">
        <f>Tableau1434567[[#This Row],[Moyen de Maitrise]]*Tableau1434567[[#This Row],[Priorité initiale]]</f>
        <v>4</v>
      </c>
      <c r="O98" s="17" t="str">
        <f>IF(AND(N98&gt;=0,N98&lt;4),"P3",IF(AND(N98&gt;=4,N98&lt;=8),"P2",IF(N98&gt;8,"P1","")))</f>
        <v>P2</v>
      </c>
      <c r="P98" s="10" t="s">
        <v>545</v>
      </c>
      <c r="S98" s="14"/>
    </row>
    <row r="99" spans="1:20" ht="195" x14ac:dyDescent="0.25">
      <c r="A99" s="10" t="s">
        <v>614</v>
      </c>
      <c r="B99" s="10" t="s">
        <v>615</v>
      </c>
      <c r="C99" s="10" t="s">
        <v>616</v>
      </c>
      <c r="D99" s="15">
        <v>22</v>
      </c>
      <c r="E99" s="10" t="s">
        <v>470</v>
      </c>
      <c r="F99" s="10" t="s">
        <v>620</v>
      </c>
      <c r="G99" s="4" t="s">
        <v>58</v>
      </c>
      <c r="H99" s="6" t="s">
        <v>617</v>
      </c>
      <c r="I99" s="1">
        <v>3</v>
      </c>
      <c r="J99" s="1">
        <v>3</v>
      </c>
      <c r="K99" s="16">
        <f>Tableau1434567[[#This Row],[Fréquence]]*Tableau1434567[[#This Row],[Gravité]]</f>
        <v>9</v>
      </c>
      <c r="L99" s="6" t="s">
        <v>621</v>
      </c>
      <c r="M99" s="1">
        <v>0.75</v>
      </c>
      <c r="N99" s="2">
        <f>Tableau1434567[[#This Row],[Moyen de Maitrise]]*Tableau1434567[[#This Row],[Priorité initiale]]</f>
        <v>6.75</v>
      </c>
      <c r="O99" s="17" t="str">
        <f>IF(AND(N99&gt;=0,N99&lt;4),"P3",IF(AND(N99&gt;=4,N99&lt;=8),"P2",IF(N99&gt;8,"P1","")))</f>
        <v>P2</v>
      </c>
      <c r="P99" s="10" t="s">
        <v>622</v>
      </c>
      <c r="R99" s="14"/>
    </row>
    <row r="100" spans="1:20" ht="60" x14ac:dyDescent="0.25">
      <c r="A100" s="10" t="s">
        <v>305</v>
      </c>
      <c r="B100" s="10" t="s">
        <v>306</v>
      </c>
      <c r="C100" s="10" t="s">
        <v>307</v>
      </c>
      <c r="D100" s="15">
        <v>23</v>
      </c>
      <c r="E100" s="4" t="s">
        <v>821</v>
      </c>
      <c r="F100" s="10" t="s">
        <v>476</v>
      </c>
      <c r="G100" s="4" t="s">
        <v>395</v>
      </c>
      <c r="H100" s="6" t="s">
        <v>308</v>
      </c>
      <c r="I100" s="1">
        <v>3</v>
      </c>
      <c r="J100" s="1">
        <v>3</v>
      </c>
      <c r="K100" s="16">
        <f>Tableau1434567[[#This Row],[Fréquence]]*Tableau1434567[[#This Row],[Gravité]]</f>
        <v>9</v>
      </c>
      <c r="L100" s="6" t="s">
        <v>477</v>
      </c>
      <c r="M100" s="1">
        <v>0.75</v>
      </c>
      <c r="N100" s="2">
        <f>Tableau1434567[[#This Row],[Priorité initiale]]*Tableau1434567[[#This Row],[Moyen de Maitrise]]</f>
        <v>6.75</v>
      </c>
      <c r="O100" s="17" t="str">
        <f>IF(AND(N100&gt;=0,N100&lt;4),"P3",IF(AND(N100&gt;=4,N100&lt;=8),"P2",IF(N100&gt;8,"P1","")))</f>
        <v>P2</v>
      </c>
      <c r="P100" s="10"/>
      <c r="Q100" s="9"/>
    </row>
    <row r="101" spans="1:20" ht="75" x14ac:dyDescent="0.25">
      <c r="A101" s="10" t="s">
        <v>305</v>
      </c>
      <c r="B101" s="10" t="s">
        <v>306</v>
      </c>
      <c r="C101" s="10" t="s">
        <v>307</v>
      </c>
      <c r="D101" s="15">
        <v>24</v>
      </c>
      <c r="E101" s="10" t="s">
        <v>99</v>
      </c>
      <c r="F101" s="10" t="s">
        <v>399</v>
      </c>
      <c r="G101" s="4" t="s">
        <v>400</v>
      </c>
      <c r="H101" s="6" t="s">
        <v>308</v>
      </c>
      <c r="I101" s="1">
        <v>3</v>
      </c>
      <c r="J101" s="1">
        <v>3</v>
      </c>
      <c r="K101" s="16">
        <f>Tableau1434567[[#This Row],[Fréquence]]*Tableau1434567[[#This Row],[Gravité]]</f>
        <v>9</v>
      </c>
      <c r="L101" s="6" t="s">
        <v>401</v>
      </c>
      <c r="M101" s="1">
        <v>0.75</v>
      </c>
      <c r="N101" s="2">
        <f>Tableau1434567[[#This Row],[Priorité initiale]]*Tableau1434567[[#This Row],[Moyen de Maitrise]]</f>
        <v>6.75</v>
      </c>
      <c r="O101" s="17" t="str">
        <f>IF(AND(N101&gt;=0,N101&lt;4),"P3",IF(AND(N101&gt;=4,N101&lt;=8),"P2",IF(N101&gt;8,"P1","")))</f>
        <v>P2</v>
      </c>
      <c r="P101" s="10"/>
      <c r="Q101" s="9"/>
      <c r="R101" s="14"/>
    </row>
    <row r="102" spans="1:20" ht="30" x14ac:dyDescent="0.25">
      <c r="A102" s="10" t="s">
        <v>305</v>
      </c>
      <c r="B102" s="10" t="s">
        <v>306</v>
      </c>
      <c r="C102" s="10" t="s">
        <v>307</v>
      </c>
      <c r="D102" s="15">
        <v>24</v>
      </c>
      <c r="E102" s="10" t="s">
        <v>99</v>
      </c>
      <c r="F102" s="10" t="s">
        <v>98</v>
      </c>
      <c r="G102" s="4" t="s">
        <v>97</v>
      </c>
      <c r="H102" s="6" t="s">
        <v>308</v>
      </c>
      <c r="I102" s="1">
        <v>3</v>
      </c>
      <c r="J102" s="1">
        <v>3</v>
      </c>
      <c r="K102" s="16">
        <f>Tableau1434567[[#This Row],[Fréquence]]*Tableau1434567[[#This Row],[Gravité]]</f>
        <v>9</v>
      </c>
      <c r="L102" s="6" t="s">
        <v>405</v>
      </c>
      <c r="M102" s="1">
        <v>0.5</v>
      </c>
      <c r="N102" s="2">
        <f>Tableau1434567[[#This Row],[Priorité initiale]]*Tableau1434567[[#This Row],[Moyen de Maitrise]]</f>
        <v>4.5</v>
      </c>
      <c r="O102" s="17" t="str">
        <f>IF(AND(N102&gt;=0,N102&lt;4),"P3",IF(AND(N102&gt;=4,N102&lt;=8),"P2",IF(N102&gt;8,"P1","")))</f>
        <v>P2</v>
      </c>
      <c r="P102" s="10"/>
      <c r="Q102" s="9"/>
    </row>
    <row r="103" spans="1:20" ht="60" x14ac:dyDescent="0.25">
      <c r="A103" s="10" t="s">
        <v>614</v>
      </c>
      <c r="B103" s="10" t="s">
        <v>615</v>
      </c>
      <c r="C103" s="10" t="s">
        <v>616</v>
      </c>
      <c r="D103" s="15">
        <v>24</v>
      </c>
      <c r="E103" s="10" t="s">
        <v>99</v>
      </c>
      <c r="F103" s="10" t="s">
        <v>103</v>
      </c>
      <c r="G103" s="4" t="s">
        <v>651</v>
      </c>
      <c r="H103" s="6" t="s">
        <v>617</v>
      </c>
      <c r="I103" s="1">
        <v>2</v>
      </c>
      <c r="J103" s="1">
        <v>3</v>
      </c>
      <c r="K103" s="16">
        <f>Tableau1434567[[#This Row],[Fréquence]]*Tableau1434567[[#This Row],[Gravité]]</f>
        <v>6</v>
      </c>
      <c r="L103" s="6" t="s">
        <v>652</v>
      </c>
      <c r="M103" s="1">
        <v>0.75</v>
      </c>
      <c r="N103" s="2">
        <f>Tableau1434567[[#This Row],[Moyen de Maitrise]]*Tableau1434567[[#This Row],[Priorité initiale]]</f>
        <v>4.5</v>
      </c>
      <c r="O103" s="17" t="str">
        <f>IF(AND(N103&gt;=0,N103&lt;4),"P3",IF(AND(N103&gt;=4,N103&lt;=8),"P2",IF(N103&gt;8,"P1","")))</f>
        <v>P2</v>
      </c>
      <c r="P103" s="10"/>
    </row>
    <row r="104" spans="1:20" ht="60" x14ac:dyDescent="0.25">
      <c r="A104" s="10" t="s">
        <v>751</v>
      </c>
      <c r="B104" s="10" t="s">
        <v>752</v>
      </c>
      <c r="C104" s="10" t="s">
        <v>753</v>
      </c>
      <c r="D104" s="15">
        <v>25</v>
      </c>
      <c r="E104" s="10" t="s">
        <v>90</v>
      </c>
      <c r="F104" s="10" t="s">
        <v>89</v>
      </c>
      <c r="G104" s="34" t="s">
        <v>88</v>
      </c>
      <c r="H104" s="36" t="s">
        <v>755</v>
      </c>
      <c r="I104" s="38">
        <v>2</v>
      </c>
      <c r="J104" s="38">
        <v>3</v>
      </c>
      <c r="K104" s="39">
        <f>I104*J104</f>
        <v>6</v>
      </c>
      <c r="L104" s="36" t="s">
        <v>760</v>
      </c>
      <c r="M104" s="38">
        <v>0.75</v>
      </c>
      <c r="N104" s="41">
        <f>K104*M104</f>
        <v>4.5</v>
      </c>
      <c r="O104" s="17" t="str">
        <f>IF(AND(N104&gt;=0,N104&lt;4),"P3",IF(AND(N104&gt;=4,N104&lt;=8),"P2",IF(N104&gt;8,"P1","")))</f>
        <v>P2</v>
      </c>
      <c r="P104" s="10" t="s">
        <v>761</v>
      </c>
      <c r="Q104" s="44">
        <v>46090</v>
      </c>
      <c r="R104" s="38"/>
      <c r="S104" s="46"/>
      <c r="T104" s="38"/>
    </row>
    <row r="105" spans="1:20" ht="75" x14ac:dyDescent="0.25">
      <c r="A105" s="10" t="s">
        <v>305</v>
      </c>
      <c r="B105" s="10" t="s">
        <v>306</v>
      </c>
      <c r="C105" s="10" t="s">
        <v>307</v>
      </c>
      <c r="D105" s="15">
        <v>26</v>
      </c>
      <c r="E105" s="10" t="s">
        <v>81</v>
      </c>
      <c r="F105" s="10" t="s">
        <v>412</v>
      </c>
      <c r="G105" s="4" t="s">
        <v>413</v>
      </c>
      <c r="H105" s="6" t="s">
        <v>308</v>
      </c>
      <c r="I105" s="1">
        <v>4</v>
      </c>
      <c r="J105" s="1">
        <v>2</v>
      </c>
      <c r="K105" s="16">
        <f>Tableau1434567[[#This Row],[Fréquence]]*Tableau1434567[[#This Row],[Gravité]]</f>
        <v>8</v>
      </c>
      <c r="L105" s="6" t="s">
        <v>414</v>
      </c>
      <c r="M105" s="1">
        <v>0.5</v>
      </c>
      <c r="N105" s="2">
        <f>Tableau1434567[[#This Row],[Priorité initiale]]*Tableau1434567[[#This Row],[Moyen de Maitrise]]</f>
        <v>4</v>
      </c>
      <c r="O105" s="17" t="str">
        <f>IF(AND(N105&gt;=0,N105&lt;4),"P3",IF(AND(N105&gt;=4,N105&lt;=8),"P2",IF(N105&gt;8,"P1","")))</f>
        <v>P2</v>
      </c>
      <c r="P105" s="10"/>
    </row>
    <row r="106" spans="1:20" ht="75" x14ac:dyDescent="0.25">
      <c r="A106" s="10" t="s">
        <v>614</v>
      </c>
      <c r="B106" s="10" t="s">
        <v>615</v>
      </c>
      <c r="C106" s="10" t="s">
        <v>616</v>
      </c>
      <c r="D106" s="15">
        <v>26</v>
      </c>
      <c r="E106" s="10" t="s">
        <v>81</v>
      </c>
      <c r="F106" s="10" t="s">
        <v>85</v>
      </c>
      <c r="G106" s="4" t="s">
        <v>84</v>
      </c>
      <c r="H106" s="6" t="s">
        <v>617</v>
      </c>
      <c r="I106" s="1">
        <v>3</v>
      </c>
      <c r="J106" s="1">
        <v>3</v>
      </c>
      <c r="K106" s="16">
        <f>Tableau1434567[[#This Row],[Fréquence]]*Tableau1434567[[#This Row],[Gravité]]</f>
        <v>9</v>
      </c>
      <c r="L106" s="6" t="s">
        <v>83</v>
      </c>
      <c r="M106" s="1">
        <v>0.75</v>
      </c>
      <c r="N106" s="2">
        <f>Tableau1434567[[#This Row],[Moyen de Maitrise]]*Tableau1434567[[#This Row],[Priorité initiale]]</f>
        <v>6.75</v>
      </c>
      <c r="O106" s="17" t="str">
        <f>IF(AND(N106&gt;=0,N106&lt;4),"P3",IF(AND(N106&gt;=4,N106&lt;=8),"P2",IF(N106&gt;8,"P1","")))</f>
        <v>P2</v>
      </c>
      <c r="P106" s="10" t="s">
        <v>82</v>
      </c>
      <c r="R106" s="14"/>
    </row>
    <row r="107" spans="1:20" ht="90" x14ac:dyDescent="0.25">
      <c r="A107" s="10" t="s">
        <v>490</v>
      </c>
      <c r="B107" s="10" t="s">
        <v>491</v>
      </c>
      <c r="C107" s="10" t="s">
        <v>492</v>
      </c>
      <c r="D107" s="15">
        <v>27</v>
      </c>
      <c r="E107" s="10" t="s">
        <v>76</v>
      </c>
      <c r="F107" s="10" t="s">
        <v>75</v>
      </c>
      <c r="G107" s="4" t="s">
        <v>74</v>
      </c>
      <c r="H107" s="6" t="s">
        <v>493</v>
      </c>
      <c r="I107" s="1">
        <v>2</v>
      </c>
      <c r="J107" s="1">
        <v>3</v>
      </c>
      <c r="K107" s="16">
        <f>Tableau1434567[[#This Row],[Fréquence]]*Tableau1434567[[#This Row],[Gravité]]</f>
        <v>6</v>
      </c>
      <c r="L107" s="6" t="s">
        <v>538</v>
      </c>
      <c r="M107" s="1">
        <v>0.75</v>
      </c>
      <c r="N107" s="2">
        <f>Tableau1434567[[#This Row],[Moyen de Maitrise]]*Tableau1434567[[#This Row],[Priorité initiale]]</f>
        <v>4.5</v>
      </c>
      <c r="O107" s="17" t="str">
        <f>IF(AND(N107&gt;=0,N107&lt;4),"P3",IF(AND(N107&gt;=4,N107&lt;=8),"P2",IF(N107&gt;8,"P1","")))</f>
        <v>P2</v>
      </c>
      <c r="P107" s="10" t="s">
        <v>539</v>
      </c>
    </row>
    <row r="108" spans="1:20" ht="45" x14ac:dyDescent="0.25">
      <c r="A108" s="10" t="s">
        <v>614</v>
      </c>
      <c r="B108" s="10" t="s">
        <v>615</v>
      </c>
      <c r="C108" s="10" t="s">
        <v>616</v>
      </c>
      <c r="D108" s="15">
        <v>27</v>
      </c>
      <c r="E108" s="10" t="s">
        <v>76</v>
      </c>
      <c r="F108" s="10" t="s">
        <v>75</v>
      </c>
      <c r="G108" s="4" t="s">
        <v>74</v>
      </c>
      <c r="H108" s="6" t="s">
        <v>617</v>
      </c>
      <c r="I108" s="1">
        <v>3</v>
      </c>
      <c r="J108" s="1">
        <v>3</v>
      </c>
      <c r="K108" s="16">
        <f>Tableau1434567[[#This Row],[Fréquence]]*Tableau1434567[[#This Row],[Gravité]]</f>
        <v>9</v>
      </c>
      <c r="L108" s="6" t="s">
        <v>644</v>
      </c>
      <c r="M108" s="1">
        <v>0.5</v>
      </c>
      <c r="N108" s="2">
        <f>Tableau1434567[[#This Row],[Moyen de Maitrise]]*Tableau1434567[[#This Row],[Priorité initiale]]</f>
        <v>4.5</v>
      </c>
      <c r="O108" s="17" t="str">
        <f>IF(AND(N108&gt;=0,N108&lt;4),"P3",IF(AND(N108&gt;=4,N108&lt;=8),"P2",IF(N108&gt;8,"P1","")))</f>
        <v>P2</v>
      </c>
      <c r="P108" s="10" t="s">
        <v>645</v>
      </c>
    </row>
    <row r="109" spans="1:20" ht="165" x14ac:dyDescent="0.25">
      <c r="A109" s="10" t="s">
        <v>490</v>
      </c>
      <c r="B109" s="10" t="s">
        <v>491</v>
      </c>
      <c r="C109" s="10" t="s">
        <v>492</v>
      </c>
      <c r="D109" s="7">
        <v>28</v>
      </c>
      <c r="E109" s="4" t="s">
        <v>826</v>
      </c>
      <c r="F109" s="10" t="s">
        <v>827</v>
      </c>
      <c r="G109" s="4" t="s">
        <v>13</v>
      </c>
      <c r="H109" s="6" t="s">
        <v>493</v>
      </c>
      <c r="I109" s="1">
        <v>4</v>
      </c>
      <c r="J109" s="1">
        <v>2</v>
      </c>
      <c r="K109" s="16">
        <f>Tableau1434567[[#This Row],[Fréquence]]*Tableau1434567[[#This Row],[Gravité]]</f>
        <v>8</v>
      </c>
      <c r="L109" s="6" t="s">
        <v>559</v>
      </c>
      <c r="M109" s="1">
        <v>0.5</v>
      </c>
      <c r="N109" s="2">
        <f>Tableau1434567[[#This Row],[Moyen de Maitrise]]*Tableau1434567[[#This Row],[Priorité initiale]]</f>
        <v>4</v>
      </c>
      <c r="O109" s="17" t="str">
        <f>IF(AND(N109&gt;=0,N109&lt;4),"P3",IF(AND(N109&gt;=4,N109&lt;=8),"P2",IF(N109&gt;8,"P1","")))</f>
        <v>P2</v>
      </c>
      <c r="P109" s="10" t="s">
        <v>560</v>
      </c>
      <c r="S109" s="14"/>
    </row>
    <row r="110" spans="1:20" ht="165" x14ac:dyDescent="0.25">
      <c r="A110" s="10" t="s">
        <v>751</v>
      </c>
      <c r="B110" s="10" t="s">
        <v>752</v>
      </c>
      <c r="C110" s="10" t="s">
        <v>753</v>
      </c>
      <c r="D110" s="7">
        <v>28</v>
      </c>
      <c r="E110" s="4" t="s">
        <v>826</v>
      </c>
      <c r="F110" s="10" t="s">
        <v>827</v>
      </c>
      <c r="G110" s="4" t="s">
        <v>13</v>
      </c>
      <c r="H110" s="35" t="s">
        <v>755</v>
      </c>
      <c r="I110" s="37">
        <v>4</v>
      </c>
      <c r="J110" s="37">
        <v>2</v>
      </c>
      <c r="K110" s="39">
        <f>I110*J110</f>
        <v>8</v>
      </c>
      <c r="L110" s="35" t="s">
        <v>772</v>
      </c>
      <c r="M110" s="37">
        <v>0.5</v>
      </c>
      <c r="N110" s="41">
        <f>K110*M110</f>
        <v>4</v>
      </c>
      <c r="O110" s="17" t="str">
        <f>IF(AND(N110&gt;=0,N110&lt;4),"P3",IF(AND(N110&gt;=4,N110&lt;=8),"P2",IF(N110&gt;8,"P1","")))</f>
        <v>P2</v>
      </c>
      <c r="P110" s="10" t="s">
        <v>773</v>
      </c>
      <c r="Q110" s="43">
        <v>46090</v>
      </c>
      <c r="R110" s="37"/>
      <c r="S110" s="45"/>
      <c r="T110" s="37"/>
    </row>
    <row r="111" spans="1:20" ht="75" x14ac:dyDescent="0.25">
      <c r="A111" s="10" t="s">
        <v>305</v>
      </c>
      <c r="B111" s="10" t="s">
        <v>306</v>
      </c>
      <c r="C111" s="10" t="s">
        <v>307</v>
      </c>
      <c r="D111" s="15">
        <v>29</v>
      </c>
      <c r="E111" s="10" t="s">
        <v>68</v>
      </c>
      <c r="F111" s="10" t="s">
        <v>70</v>
      </c>
      <c r="G111" s="4" t="s">
        <v>69</v>
      </c>
      <c r="H111" s="6" t="s">
        <v>308</v>
      </c>
      <c r="I111" s="1">
        <v>3</v>
      </c>
      <c r="J111" s="1">
        <v>3</v>
      </c>
      <c r="K111" s="16">
        <f>Tableau1434567[[#This Row],[Fréquence]]*Tableau1434567[[#This Row],[Gravité]]</f>
        <v>9</v>
      </c>
      <c r="L111" s="6" t="s">
        <v>421</v>
      </c>
      <c r="M111" s="1">
        <v>0.75</v>
      </c>
      <c r="N111" s="2">
        <f>Tableau1434567[[#This Row],[Priorité initiale]]*Tableau1434567[[#This Row],[Moyen de Maitrise]]</f>
        <v>6.75</v>
      </c>
      <c r="O111" s="17" t="str">
        <f>IF(AND(N111&gt;=0,N111&lt;4),"P3",IF(AND(N111&gt;=4,N111&lt;=8),"P2",IF(N111&gt;8,"P1","")))</f>
        <v>P2</v>
      </c>
      <c r="P111" s="10" t="s">
        <v>422</v>
      </c>
      <c r="Q111" s="9"/>
    </row>
    <row r="112" spans="1:20" ht="45" x14ac:dyDescent="0.25">
      <c r="A112" s="10" t="s">
        <v>490</v>
      </c>
      <c r="B112" s="10" t="s">
        <v>491</v>
      </c>
      <c r="C112" s="10" t="s">
        <v>492</v>
      </c>
      <c r="D112" s="15">
        <v>29</v>
      </c>
      <c r="E112" s="10" t="s">
        <v>68</v>
      </c>
      <c r="F112" s="10" t="s">
        <v>70</v>
      </c>
      <c r="G112" s="4" t="s">
        <v>69</v>
      </c>
      <c r="H112" s="6" t="s">
        <v>493</v>
      </c>
      <c r="I112" s="1">
        <v>4</v>
      </c>
      <c r="J112" s="1">
        <v>3</v>
      </c>
      <c r="K112" s="16">
        <f>Tableau1434567[[#This Row],[Fréquence]]*Tableau1434567[[#This Row],[Gravité]]</f>
        <v>12</v>
      </c>
      <c r="L112" s="6" t="s">
        <v>494</v>
      </c>
      <c r="M112" s="1">
        <v>0.5</v>
      </c>
      <c r="N112" s="2">
        <f>Tableau1434567[[#This Row],[Moyen de Maitrise]]*Tableau1434567[[#This Row],[Priorité initiale]]</f>
        <v>6</v>
      </c>
      <c r="O112" s="17" t="str">
        <f>IF(AND(N112&gt;=0,N112&lt;4),"P3",IF(AND(N112&gt;=4,N112&lt;=8),"P2",IF(N112&gt;8,"P1","")))</f>
        <v>P2</v>
      </c>
      <c r="P112" s="10"/>
      <c r="R112" s="9">
        <v>46090</v>
      </c>
      <c r="S112" s="14"/>
    </row>
    <row r="113" spans="1:20" ht="105" x14ac:dyDescent="0.25">
      <c r="A113" s="10" t="s">
        <v>614</v>
      </c>
      <c r="B113" s="10" t="s">
        <v>615</v>
      </c>
      <c r="C113" s="10" t="s">
        <v>616</v>
      </c>
      <c r="D113" s="15">
        <v>29</v>
      </c>
      <c r="E113" s="10" t="s">
        <v>68</v>
      </c>
      <c r="F113" s="10" t="s">
        <v>70</v>
      </c>
      <c r="G113" s="4" t="s">
        <v>69</v>
      </c>
      <c r="H113" s="6" t="s">
        <v>617</v>
      </c>
      <c r="I113" s="1">
        <v>2</v>
      </c>
      <c r="J113" s="1">
        <v>3</v>
      </c>
      <c r="K113" s="16">
        <f>Tableau1434567[[#This Row],[Fréquence]]*Tableau1434567[[#This Row],[Gravité]]</f>
        <v>6</v>
      </c>
      <c r="L113" s="6" t="s">
        <v>640</v>
      </c>
      <c r="M113" s="1">
        <v>0.75</v>
      </c>
      <c r="N113" s="2">
        <f>Tableau1434567[[#This Row],[Moyen de Maitrise]]*Tableau1434567[[#This Row],[Priorité initiale]]</f>
        <v>4.5</v>
      </c>
      <c r="O113" s="17" t="str">
        <f>IF(AND(N113&gt;=0,N113&lt;4),"P3",IF(AND(N113&gt;=4,N113&lt;=8),"P2",IF(N113&gt;8,"P1","")))</f>
        <v>P2</v>
      </c>
      <c r="P113" s="10"/>
      <c r="R113" s="14"/>
    </row>
    <row r="114" spans="1:20" ht="45" x14ac:dyDescent="0.25">
      <c r="A114" s="10" t="s">
        <v>614</v>
      </c>
      <c r="B114" s="10" t="s">
        <v>615</v>
      </c>
      <c r="C114" s="10" t="s">
        <v>616</v>
      </c>
      <c r="D114" s="15">
        <v>29</v>
      </c>
      <c r="E114" s="10" t="s">
        <v>68</v>
      </c>
      <c r="F114" s="10" t="s">
        <v>683</v>
      </c>
      <c r="G114" s="4" t="s">
        <v>684</v>
      </c>
      <c r="H114" s="6" t="s">
        <v>617</v>
      </c>
      <c r="I114" s="1">
        <v>1</v>
      </c>
      <c r="J114" s="1">
        <v>4</v>
      </c>
      <c r="K114" s="16">
        <f>Tableau1434567[[#This Row],[Fréquence]]*Tableau1434567[[#This Row],[Gravité]]</f>
        <v>4</v>
      </c>
      <c r="L114" s="6" t="s">
        <v>26</v>
      </c>
      <c r="M114" s="1">
        <v>1</v>
      </c>
      <c r="N114" s="2">
        <f>Tableau1434567[[#This Row],[Moyen de Maitrise]]*Tableau1434567[[#This Row],[Priorité initiale]]</f>
        <v>4</v>
      </c>
      <c r="O114" s="17" t="str">
        <f>IF(AND(N114&gt;=0,N114&lt;4),"P3",IF(AND(N114&gt;=4,N114&lt;=8),"P2",IF(N114&gt;8,"P1","")))</f>
        <v>P2</v>
      </c>
      <c r="P114" s="10" t="s">
        <v>685</v>
      </c>
      <c r="R114" s="14"/>
    </row>
    <row r="115" spans="1:20" ht="210" x14ac:dyDescent="0.25">
      <c r="A115" s="10"/>
      <c r="B115" s="10"/>
      <c r="C115" s="10" t="s">
        <v>500</v>
      </c>
      <c r="D115" s="15">
        <v>30</v>
      </c>
      <c r="E115" s="10" t="s">
        <v>60</v>
      </c>
      <c r="F115" s="10" t="s">
        <v>59</v>
      </c>
      <c r="G115" s="4" t="s">
        <v>58</v>
      </c>
      <c r="H115" s="6" t="s">
        <v>493</v>
      </c>
      <c r="I115" s="1">
        <v>3</v>
      </c>
      <c r="J115" s="1">
        <v>2</v>
      </c>
      <c r="K115" s="16">
        <f>Tableau1434567[[#This Row],[Fréquence]]*Tableau1434567[[#This Row],[Gravité]]</f>
        <v>6</v>
      </c>
      <c r="L115" s="6" t="s">
        <v>503</v>
      </c>
      <c r="M115" s="1">
        <v>0.75</v>
      </c>
      <c r="N115" s="2">
        <f>Tableau1434567[[#This Row],[Moyen de Maitrise]]*Tableau1434567[[#This Row],[Priorité initiale]]</f>
        <v>4.5</v>
      </c>
      <c r="O115" s="17" t="str">
        <f>IF(AND(N115&gt;=0,N115&lt;4),"P3",IF(AND(N115&gt;=4,N115&lt;=8),"P2",IF(N115&gt;8,"P1","")))</f>
        <v>P2</v>
      </c>
      <c r="P115" s="10" t="s">
        <v>504</v>
      </c>
      <c r="R115" s="9">
        <v>46090</v>
      </c>
      <c r="S115" s="14">
        <v>45354</v>
      </c>
    </row>
    <row r="116" spans="1:20" ht="90" x14ac:dyDescent="0.25">
      <c r="A116" s="10" t="s">
        <v>614</v>
      </c>
      <c r="B116" s="10" t="s">
        <v>615</v>
      </c>
      <c r="C116" s="10" t="s">
        <v>633</v>
      </c>
      <c r="D116" s="15">
        <v>30</v>
      </c>
      <c r="E116" s="10" t="s">
        <v>60</v>
      </c>
      <c r="F116" s="10" t="s">
        <v>59</v>
      </c>
      <c r="G116" s="4" t="s">
        <v>58</v>
      </c>
      <c r="H116" s="6" t="s">
        <v>617</v>
      </c>
      <c r="I116" s="1">
        <v>3</v>
      </c>
      <c r="J116" s="1">
        <v>3</v>
      </c>
      <c r="K116" s="16">
        <f>Tableau1434567[[#This Row],[Fréquence]]*Tableau1434567[[#This Row],[Gravité]]</f>
        <v>9</v>
      </c>
      <c r="L116" s="6" t="s">
        <v>634</v>
      </c>
      <c r="M116" s="1">
        <v>0.5</v>
      </c>
      <c r="N116" s="2">
        <f>Tableau1434567[[#This Row],[Moyen de Maitrise]]*Tableau1434567[[#This Row],[Priorité initiale]]</f>
        <v>4.5</v>
      </c>
      <c r="O116" s="17" t="str">
        <f>IF(AND(N116&gt;=0,N116&lt;4),"P3",IF(AND(N116&gt;=4,N116&lt;=8),"P2",IF(N116&gt;8,"P1","")))</f>
        <v>P2</v>
      </c>
      <c r="P116" s="10" t="s">
        <v>635</v>
      </c>
      <c r="R116" s="14"/>
    </row>
    <row r="117" spans="1:20" ht="60" x14ac:dyDescent="0.25">
      <c r="A117" s="10" t="s">
        <v>305</v>
      </c>
      <c r="B117" s="10" t="s">
        <v>306</v>
      </c>
      <c r="C117" s="10" t="s">
        <v>307</v>
      </c>
      <c r="D117" s="15">
        <v>31</v>
      </c>
      <c r="E117" s="10" t="s">
        <v>52</v>
      </c>
      <c r="F117" s="10" t="s">
        <v>51</v>
      </c>
      <c r="G117" s="4" t="s">
        <v>427</v>
      </c>
      <c r="H117" s="6" t="s">
        <v>308</v>
      </c>
      <c r="I117" s="1">
        <v>3</v>
      </c>
      <c r="J117" s="1">
        <v>4</v>
      </c>
      <c r="K117" s="16">
        <f>Tableau1434567[[#This Row],[Fréquence]]*Tableau1434567[[#This Row],[Gravité]]</f>
        <v>12</v>
      </c>
      <c r="L117" s="6" t="s">
        <v>428</v>
      </c>
      <c r="M117" s="1">
        <v>0.5</v>
      </c>
      <c r="N117" s="2">
        <f>Tableau1434567[[#This Row],[Priorité initiale]]*Tableau1434567[[#This Row],[Moyen de Maitrise]]</f>
        <v>6</v>
      </c>
      <c r="O117" s="17" t="str">
        <f>IF(AND(N117&gt;=0,N117&lt;4),"P3",IF(AND(N117&gt;=4,N117&lt;=8),"P2",IF(N117&gt;8,"P1","")))</f>
        <v>P2</v>
      </c>
      <c r="P117" s="10"/>
    </row>
    <row r="118" spans="1:20" ht="105" x14ac:dyDescent="0.25">
      <c r="A118" s="10" t="s">
        <v>305</v>
      </c>
      <c r="B118" s="10" t="s">
        <v>306</v>
      </c>
      <c r="C118" s="10" t="s">
        <v>307</v>
      </c>
      <c r="D118" s="15">
        <v>33</v>
      </c>
      <c r="E118" s="10" t="s">
        <v>3</v>
      </c>
      <c r="F118" s="10" t="s">
        <v>2</v>
      </c>
      <c r="G118" s="4" t="s">
        <v>1</v>
      </c>
      <c r="H118" s="6" t="s">
        <v>308</v>
      </c>
      <c r="I118" s="1">
        <v>1</v>
      </c>
      <c r="J118" s="1">
        <v>4</v>
      </c>
      <c r="K118" s="16">
        <f>Tableau1434567[[#This Row],[Fréquence]]*Tableau1434567[[#This Row],[Gravité]]</f>
        <v>4</v>
      </c>
      <c r="L118" s="6" t="s">
        <v>430</v>
      </c>
      <c r="M118" s="1">
        <v>1</v>
      </c>
      <c r="N118" s="2">
        <f>Tableau1434567[[#This Row],[Priorité initiale]]*Tableau1434567[[#This Row],[Moyen de Maitrise]]</f>
        <v>4</v>
      </c>
      <c r="O118" s="17" t="str">
        <f>IF(AND(N118&gt;=0,N118&lt;4),"P3",IF(AND(N118&gt;=4,N118&lt;=8),"P2",IF(N118&gt;8,"P1","")))</f>
        <v>P2</v>
      </c>
      <c r="P118" s="10" t="s">
        <v>823</v>
      </c>
    </row>
    <row r="119" spans="1:20" ht="60" x14ac:dyDescent="0.25">
      <c r="A119" s="10" t="s">
        <v>305</v>
      </c>
      <c r="B119" s="10" t="s">
        <v>306</v>
      </c>
      <c r="C119" s="10" t="s">
        <v>307</v>
      </c>
      <c r="D119" s="15">
        <v>33</v>
      </c>
      <c r="E119" s="10" t="s">
        <v>3</v>
      </c>
      <c r="F119" s="10" t="s">
        <v>431</v>
      </c>
      <c r="G119" s="4" t="s">
        <v>432</v>
      </c>
      <c r="H119" s="6" t="s">
        <v>308</v>
      </c>
      <c r="I119" s="1">
        <v>3</v>
      </c>
      <c r="J119" s="1">
        <v>3</v>
      </c>
      <c r="K119" s="16">
        <f>Tableau1434567[[#This Row],[Fréquence]]*Tableau1434567[[#This Row],[Gravité]]</f>
        <v>9</v>
      </c>
      <c r="L119" s="6" t="s">
        <v>433</v>
      </c>
      <c r="M119" s="1">
        <v>0.75</v>
      </c>
      <c r="N119" s="2">
        <f>Tableau1434567[[#This Row],[Priorité initiale]]*Tableau1434567[[#This Row],[Moyen de Maitrise]]</f>
        <v>6.75</v>
      </c>
      <c r="O119" s="17" t="str">
        <f>IF(AND(N119&gt;=0,N119&lt;4),"P3",IF(AND(N119&gt;=4,N119&lt;=8),"P2",IF(N119&gt;8,"P1","")))</f>
        <v>P2</v>
      </c>
      <c r="P119" s="10" t="s">
        <v>824</v>
      </c>
      <c r="R119" s="14"/>
      <c r="S119" s="6"/>
    </row>
    <row r="120" spans="1:20" ht="60" x14ac:dyDescent="0.25">
      <c r="A120" s="10" t="s">
        <v>490</v>
      </c>
      <c r="B120" s="10" t="s">
        <v>491</v>
      </c>
      <c r="C120" s="10" t="s">
        <v>495</v>
      </c>
      <c r="D120" s="15">
        <v>33</v>
      </c>
      <c r="E120" s="10" t="s">
        <v>3</v>
      </c>
      <c r="F120" s="10" t="s">
        <v>431</v>
      </c>
      <c r="G120" s="4" t="s">
        <v>519</v>
      </c>
      <c r="H120" s="6" t="s">
        <v>493</v>
      </c>
      <c r="I120" s="1">
        <v>2</v>
      </c>
      <c r="J120" s="1">
        <v>4</v>
      </c>
      <c r="K120" s="16">
        <f>Tableau1434567[[#This Row],[Fréquence]]*Tableau1434567[[#This Row],[Gravité]]</f>
        <v>8</v>
      </c>
      <c r="L120" s="6" t="s">
        <v>520</v>
      </c>
      <c r="M120" s="1">
        <v>0.75</v>
      </c>
      <c r="N120" s="2">
        <f>Tableau1434567[[#This Row],[Moyen de Maitrise]]*Tableau1434567[[#This Row],[Priorité initiale]]</f>
        <v>6</v>
      </c>
      <c r="O120" s="17" t="str">
        <f>IF(AND(N120&gt;=0,N120&lt;4),"P3",IF(AND(N120&gt;=4,N120&lt;=8),"P2",IF(N120&gt;8,"P1","")))</f>
        <v>P2</v>
      </c>
      <c r="P120" s="10" t="s">
        <v>521</v>
      </c>
      <c r="R120" s="9">
        <v>46090</v>
      </c>
    </row>
    <row r="121" spans="1:20" ht="60" x14ac:dyDescent="0.25">
      <c r="A121" s="10" t="s">
        <v>490</v>
      </c>
      <c r="B121" s="10" t="s">
        <v>491</v>
      </c>
      <c r="C121" s="10" t="s">
        <v>492</v>
      </c>
      <c r="D121" s="15">
        <v>33</v>
      </c>
      <c r="E121" s="10" t="s">
        <v>3</v>
      </c>
      <c r="F121" s="10" t="s">
        <v>431</v>
      </c>
      <c r="G121" s="4" t="s">
        <v>519</v>
      </c>
      <c r="H121" s="6" t="s">
        <v>493</v>
      </c>
      <c r="I121" s="1">
        <v>2</v>
      </c>
      <c r="J121" s="1">
        <v>4</v>
      </c>
      <c r="K121" s="16">
        <f>Tableau1434567[[#This Row],[Fréquence]]*Tableau1434567[[#This Row],[Gravité]]</f>
        <v>8</v>
      </c>
      <c r="L121" s="6"/>
      <c r="M121" s="1">
        <v>0.75</v>
      </c>
      <c r="N121" s="2">
        <f>Tableau1434567[[#This Row],[Moyen de Maitrise]]*Tableau1434567[[#This Row],[Priorité initiale]]</f>
        <v>6</v>
      </c>
      <c r="O121" s="17" t="str">
        <f>IF(AND(N121&gt;=0,N121&lt;4),"P3",IF(AND(N121&gt;=4,N121&lt;=8),"P2",IF(N121&gt;8,"P1","")))</f>
        <v>P2</v>
      </c>
      <c r="P121" s="10" t="s">
        <v>526</v>
      </c>
    </row>
    <row r="122" spans="1:20" ht="90" x14ac:dyDescent="0.25">
      <c r="A122" s="10" t="s">
        <v>490</v>
      </c>
      <c r="B122" s="10" t="s">
        <v>491</v>
      </c>
      <c r="C122" s="10" t="s">
        <v>495</v>
      </c>
      <c r="D122" s="15">
        <v>33</v>
      </c>
      <c r="E122" s="10" t="s">
        <v>3</v>
      </c>
      <c r="F122" s="10" t="s">
        <v>540</v>
      </c>
      <c r="G122" s="4" t="s">
        <v>519</v>
      </c>
      <c r="H122" s="6" t="s">
        <v>493</v>
      </c>
      <c r="I122" s="1">
        <v>2</v>
      </c>
      <c r="J122" s="1">
        <v>3</v>
      </c>
      <c r="K122" s="16">
        <f>Tableau1434567[[#This Row],[Fréquence]]*Tableau1434567[[#This Row],[Gravité]]</f>
        <v>6</v>
      </c>
      <c r="L122" s="6" t="s">
        <v>541</v>
      </c>
      <c r="M122" s="1">
        <v>0.75</v>
      </c>
      <c r="N122" s="2">
        <f>Tableau1434567[[#This Row],[Moyen de Maitrise]]*Tableau1434567[[#This Row],[Priorité initiale]]</f>
        <v>4.5</v>
      </c>
      <c r="O122" s="17" t="str">
        <f>IF(AND(N122&gt;=0,N122&lt;4),"P3",IF(AND(N122&gt;=4,N122&lt;=8),"P2",IF(N122&gt;8,"P1","")))</f>
        <v>P2</v>
      </c>
      <c r="P122" s="10" t="s">
        <v>542</v>
      </c>
    </row>
    <row r="123" spans="1:20" ht="90" x14ac:dyDescent="0.25">
      <c r="A123" s="10" t="s">
        <v>490</v>
      </c>
      <c r="B123" s="10" t="s">
        <v>491</v>
      </c>
      <c r="C123" s="10" t="s">
        <v>492</v>
      </c>
      <c r="D123" s="15">
        <v>33</v>
      </c>
      <c r="E123" s="10" t="s">
        <v>3</v>
      </c>
      <c r="F123" s="10" t="s">
        <v>540</v>
      </c>
      <c r="G123" s="4" t="s">
        <v>519</v>
      </c>
      <c r="H123" s="6" t="s">
        <v>493</v>
      </c>
      <c r="I123" s="1">
        <v>2</v>
      </c>
      <c r="J123" s="1">
        <v>3</v>
      </c>
      <c r="K123" s="16">
        <f>Tableau1434567[[#This Row],[Fréquence]]*Tableau1434567[[#This Row],[Gravité]]</f>
        <v>6</v>
      </c>
      <c r="L123" s="6" t="s">
        <v>541</v>
      </c>
      <c r="M123" s="1">
        <v>0.75</v>
      </c>
      <c r="N123" s="2">
        <f>Tableau1434567[[#This Row],[Moyen de Maitrise]]*Tableau1434567[[#This Row],[Priorité initiale]]</f>
        <v>4.5</v>
      </c>
      <c r="O123" s="17" t="str">
        <f>IF(AND(N123&gt;=0,N123&lt;4),"P3",IF(AND(N123&gt;=4,N123&lt;=8),"P2",IF(N123&gt;8,"P1","")))</f>
        <v>P2</v>
      </c>
      <c r="P123" s="10" t="s">
        <v>825</v>
      </c>
    </row>
    <row r="124" spans="1:20" ht="105" x14ac:dyDescent="0.25">
      <c r="A124" s="10" t="s">
        <v>490</v>
      </c>
      <c r="B124" s="10" t="s">
        <v>491</v>
      </c>
      <c r="C124" s="10" t="s">
        <v>495</v>
      </c>
      <c r="D124" s="15">
        <v>33</v>
      </c>
      <c r="E124" s="10" t="s">
        <v>3</v>
      </c>
      <c r="F124" s="10" t="s">
        <v>2</v>
      </c>
      <c r="G124" s="4" t="s">
        <v>1</v>
      </c>
      <c r="H124" s="6" t="s">
        <v>493</v>
      </c>
      <c r="I124" s="1">
        <v>1</v>
      </c>
      <c r="J124" s="1">
        <v>4</v>
      </c>
      <c r="K124" s="16">
        <f>Tableau1434567[[#This Row],[Fréquence]]*Tableau1434567[[#This Row],[Gravité]]</f>
        <v>4</v>
      </c>
      <c r="L124" s="6" t="s">
        <v>0</v>
      </c>
      <c r="M124" s="1">
        <v>1</v>
      </c>
      <c r="N124" s="2">
        <f>Tableau1434567[[#This Row],[Moyen de Maitrise]]*Tableau1434567[[#This Row],[Priorité initiale]]</f>
        <v>4</v>
      </c>
      <c r="O124" s="17" t="str">
        <f>IF(AND(N124&gt;=0,N124&lt;4),"P3",IF(AND(N124&gt;=4,N124&lt;=8),"P2",IF(N124&gt;8,"P1","")))</f>
        <v>P2</v>
      </c>
      <c r="P124" s="10" t="s">
        <v>823</v>
      </c>
    </row>
    <row r="125" spans="1:20" ht="105" x14ac:dyDescent="0.25">
      <c r="A125" s="10" t="s">
        <v>490</v>
      </c>
      <c r="B125" s="10" t="s">
        <v>491</v>
      </c>
      <c r="C125" s="10" t="s">
        <v>492</v>
      </c>
      <c r="D125" s="15">
        <v>33</v>
      </c>
      <c r="E125" s="10" t="s">
        <v>3</v>
      </c>
      <c r="F125" s="10" t="s">
        <v>2</v>
      </c>
      <c r="G125" s="4" t="s">
        <v>1</v>
      </c>
      <c r="H125" s="6" t="s">
        <v>493</v>
      </c>
      <c r="I125" s="1">
        <v>1</v>
      </c>
      <c r="J125" s="1">
        <v>4</v>
      </c>
      <c r="K125" s="16">
        <f>Tableau1434567[[#This Row],[Fréquence]]*Tableau1434567[[#This Row],[Gravité]]</f>
        <v>4</v>
      </c>
      <c r="L125" s="6" t="s">
        <v>0</v>
      </c>
      <c r="M125" s="1">
        <v>1</v>
      </c>
      <c r="N125" s="2">
        <f>Tableau1434567[[#This Row],[Moyen de Maitrise]]*Tableau1434567[[#This Row],[Priorité initiale]]</f>
        <v>4</v>
      </c>
      <c r="O125" s="17" t="str">
        <f>IF(AND(N125&gt;=0,N125&lt;4),"P3",IF(AND(N125&gt;=4,N125&lt;=8),"P2",IF(N125&gt;8,"P1","")))</f>
        <v>P2</v>
      </c>
      <c r="P125" s="10" t="s">
        <v>823</v>
      </c>
    </row>
    <row r="126" spans="1:20" ht="75" x14ac:dyDescent="0.25">
      <c r="A126" s="10" t="s">
        <v>614</v>
      </c>
      <c r="B126" s="10" t="s">
        <v>615</v>
      </c>
      <c r="C126" s="10" t="s">
        <v>633</v>
      </c>
      <c r="D126" s="15">
        <v>33</v>
      </c>
      <c r="E126" s="10" t="s">
        <v>3</v>
      </c>
      <c r="F126" s="10" t="s">
        <v>431</v>
      </c>
      <c r="G126" s="4" t="s">
        <v>432</v>
      </c>
      <c r="H126" s="6" t="s">
        <v>617</v>
      </c>
      <c r="I126" s="1">
        <v>2</v>
      </c>
      <c r="J126" s="1">
        <v>3</v>
      </c>
      <c r="K126" s="16">
        <f>Tableau1434567[[#This Row],[Fréquence]]*Tableau1434567[[#This Row],[Gravité]]</f>
        <v>6</v>
      </c>
      <c r="L126" s="6" t="s">
        <v>650</v>
      </c>
      <c r="M126" s="1">
        <v>0.75</v>
      </c>
      <c r="N126" s="2">
        <f>Tableau1434567[[#This Row],[Moyen de Maitrise]]*Tableau1434567[[#This Row],[Priorité initiale]]</f>
        <v>4.5</v>
      </c>
      <c r="O126" s="17" t="str">
        <f>IF(AND(N126&gt;=0,N126&lt;4),"P3",IF(AND(N126&gt;=4,N126&lt;=8),"P2",IF(N126&gt;8,"P1","")))</f>
        <v>P2</v>
      </c>
      <c r="P126" s="10" t="s">
        <v>822</v>
      </c>
    </row>
    <row r="127" spans="1:20" ht="105" x14ac:dyDescent="0.25">
      <c r="A127" s="10" t="s">
        <v>614</v>
      </c>
      <c r="B127" s="10" t="s">
        <v>615</v>
      </c>
      <c r="C127" s="10" t="s">
        <v>633</v>
      </c>
      <c r="D127" s="15">
        <v>33</v>
      </c>
      <c r="E127" s="10" t="s">
        <v>3</v>
      </c>
      <c r="F127" s="10" t="s">
        <v>2</v>
      </c>
      <c r="G127" s="4" t="s">
        <v>1</v>
      </c>
      <c r="H127" s="6" t="s">
        <v>617</v>
      </c>
      <c r="I127" s="1">
        <v>1</v>
      </c>
      <c r="J127" s="1">
        <v>4</v>
      </c>
      <c r="K127" s="16">
        <f>Tableau1434567[[#This Row],[Fréquence]]*Tableau1434567[[#This Row],[Gravité]]</f>
        <v>4</v>
      </c>
      <c r="L127" s="6" t="s">
        <v>0</v>
      </c>
      <c r="M127" s="1">
        <v>1</v>
      </c>
      <c r="N127" s="2">
        <f>Tableau1434567[[#This Row],[Moyen de Maitrise]]*Tableau1434567[[#This Row],[Priorité initiale]]</f>
        <v>4</v>
      </c>
      <c r="O127" s="17" t="str">
        <f>IF(AND(N127&gt;=0,N127&lt;4),"P3",IF(AND(N127&gt;=4,N127&lt;=8),"P2",IF(N127&gt;8,"P1","")))</f>
        <v>P2</v>
      </c>
      <c r="P127" s="10" t="s">
        <v>823</v>
      </c>
    </row>
    <row r="128" spans="1:20" ht="105" x14ac:dyDescent="0.25">
      <c r="A128" s="10" t="s">
        <v>751</v>
      </c>
      <c r="B128" s="10" t="s">
        <v>752</v>
      </c>
      <c r="C128" s="10" t="s">
        <v>753</v>
      </c>
      <c r="D128" s="15">
        <v>33</v>
      </c>
      <c r="E128" s="10" t="s">
        <v>3</v>
      </c>
      <c r="F128" s="10" t="s">
        <v>2</v>
      </c>
      <c r="G128" s="34" t="s">
        <v>1</v>
      </c>
      <c r="H128" s="36" t="s">
        <v>755</v>
      </c>
      <c r="I128" s="38">
        <v>1</v>
      </c>
      <c r="J128" s="38">
        <v>4</v>
      </c>
      <c r="K128" s="39">
        <f>I128*J128</f>
        <v>4</v>
      </c>
      <c r="L128" s="36" t="s">
        <v>0</v>
      </c>
      <c r="M128" s="38">
        <v>1</v>
      </c>
      <c r="N128" s="41">
        <f>K128*M128</f>
        <v>4</v>
      </c>
      <c r="O128" s="17" t="str">
        <f>IF(AND(N128&gt;=0,N128&lt;4),"P3",IF(AND(N128&gt;=4,N128&lt;=8),"P2",IF(N128&gt;8,"P1","")))</f>
        <v>P2</v>
      </c>
      <c r="P128" s="10" t="s">
        <v>823</v>
      </c>
      <c r="Q128" s="44">
        <v>46090</v>
      </c>
      <c r="R128" s="38"/>
      <c r="S128" s="38"/>
      <c r="T128" s="38"/>
    </row>
    <row r="129" spans="1:20" ht="60" x14ac:dyDescent="0.25">
      <c r="A129" s="10" t="s">
        <v>305</v>
      </c>
      <c r="B129" s="10" t="s">
        <v>306</v>
      </c>
      <c r="C129" s="10" t="s">
        <v>307</v>
      </c>
      <c r="D129" s="15">
        <v>34</v>
      </c>
      <c r="E129" s="10" t="s">
        <v>57</v>
      </c>
      <c r="F129" s="10" t="s">
        <v>439</v>
      </c>
      <c r="G129" s="33" t="s">
        <v>440</v>
      </c>
      <c r="H129" s="35" t="s">
        <v>308</v>
      </c>
      <c r="I129" s="37">
        <v>2</v>
      </c>
      <c r="J129" s="37">
        <v>3</v>
      </c>
      <c r="K129" s="16">
        <f>Tableau1434567[[#This Row],[Fréquence]]*Tableau1434567[[#This Row],[Gravité]]</f>
        <v>6</v>
      </c>
      <c r="L129" s="35" t="s">
        <v>441</v>
      </c>
      <c r="M129" s="37">
        <v>0.75</v>
      </c>
      <c r="N129" s="2">
        <f>Tableau1434567[[#This Row],[Priorité initiale]]*Tableau1434567[[#This Row],[Moyen de Maitrise]]</f>
        <v>4.5</v>
      </c>
      <c r="O129" s="17" t="str">
        <f>IF(AND(N129&gt;=0,N129&lt;4),"P3",IF(AND(N129&gt;=4,N129&lt;=8),"P2",IF(N129&gt;8,"P1","")))</f>
        <v>P2</v>
      </c>
      <c r="P129" s="10" t="s">
        <v>434</v>
      </c>
      <c r="Q129" s="37"/>
      <c r="R129" s="45"/>
      <c r="S129" s="37"/>
      <c r="T129" s="37"/>
    </row>
    <row r="130" spans="1:20" ht="105" x14ac:dyDescent="0.25">
      <c r="A130" s="10" t="s">
        <v>305</v>
      </c>
      <c r="B130" s="10" t="s">
        <v>306</v>
      </c>
      <c r="C130" s="10" t="s">
        <v>307</v>
      </c>
      <c r="D130" s="15">
        <v>36</v>
      </c>
      <c r="E130" s="10" t="s">
        <v>43</v>
      </c>
      <c r="F130" s="10" t="s">
        <v>42</v>
      </c>
      <c r="G130" s="33" t="s">
        <v>7</v>
      </c>
      <c r="H130" s="35" t="s">
        <v>308</v>
      </c>
      <c r="I130" s="37">
        <v>2</v>
      </c>
      <c r="J130" s="37">
        <v>3</v>
      </c>
      <c r="K130" s="47">
        <f>Tableau1434567[[#This Row],[Fréquence]]*Tableau1434567[[#This Row],[Gravité]]</f>
        <v>6</v>
      </c>
      <c r="L130" s="35" t="s">
        <v>446</v>
      </c>
      <c r="M130" s="37">
        <v>0.75</v>
      </c>
      <c r="N130" s="48">
        <f>Tableau1434567[[#This Row],[Priorité initiale]]*Tableau1434567[[#This Row],[Moyen de Maitrise]]</f>
        <v>4.5</v>
      </c>
      <c r="O130" s="17" t="str">
        <f>IF(AND(N130&gt;=0,N130&lt;4),"P3",IF(AND(N130&gt;=4,N130&lt;=8),"P2",IF(N130&gt;8,"P1","")))</f>
        <v>P2</v>
      </c>
      <c r="P130" s="10" t="s">
        <v>447</v>
      </c>
      <c r="Q130" s="37"/>
      <c r="R130" s="37"/>
      <c r="S130" s="37"/>
      <c r="T130" s="37"/>
    </row>
    <row r="131" spans="1:20" ht="60" x14ac:dyDescent="0.25">
      <c r="A131" s="10" t="s">
        <v>614</v>
      </c>
      <c r="B131" s="10" t="s">
        <v>615</v>
      </c>
      <c r="C131" s="10" t="s">
        <v>616</v>
      </c>
      <c r="D131" s="15">
        <v>36</v>
      </c>
      <c r="E131" s="10" t="s">
        <v>43</v>
      </c>
      <c r="F131" s="10" t="s">
        <v>629</v>
      </c>
      <c r="G131" s="33" t="s">
        <v>630</v>
      </c>
      <c r="H131" s="35" t="s">
        <v>617</v>
      </c>
      <c r="I131" s="37">
        <v>2</v>
      </c>
      <c r="J131" s="37">
        <v>4</v>
      </c>
      <c r="K131" s="47">
        <f>Tableau1434567[[#This Row],[Fréquence]]*Tableau1434567[[#This Row],[Gravité]]</f>
        <v>8</v>
      </c>
      <c r="L131" s="35" t="s">
        <v>631</v>
      </c>
      <c r="M131" s="37">
        <v>0.75</v>
      </c>
      <c r="N131" s="48">
        <f>Tableau1434567[[#This Row],[Moyen de Maitrise]]*Tableau1434567[[#This Row],[Priorité initiale]]</f>
        <v>6</v>
      </c>
      <c r="O131" s="17" t="str">
        <f>IF(AND(N131&gt;=0,N131&lt;4),"P3",IF(AND(N131&gt;=4,N131&lt;=8),"P2",IF(N131&gt;8,"P1","")))</f>
        <v>P2</v>
      </c>
      <c r="P131" s="10" t="s">
        <v>632</v>
      </c>
      <c r="Q131" s="37"/>
      <c r="R131" s="37"/>
      <c r="S131" s="37"/>
      <c r="T131" s="37"/>
    </row>
    <row r="132" spans="1:20" ht="105" x14ac:dyDescent="0.25">
      <c r="A132" s="10" t="s">
        <v>751</v>
      </c>
      <c r="B132" s="10" t="s">
        <v>752</v>
      </c>
      <c r="C132" s="10" t="s">
        <v>753</v>
      </c>
      <c r="D132" s="15">
        <v>36</v>
      </c>
      <c r="E132" s="10" t="s">
        <v>43</v>
      </c>
      <c r="F132" s="10" t="s">
        <v>42</v>
      </c>
      <c r="G132" s="34" t="s">
        <v>41</v>
      </c>
      <c r="H132" s="36" t="s">
        <v>755</v>
      </c>
      <c r="I132" s="38">
        <v>1</v>
      </c>
      <c r="J132" s="38">
        <v>4</v>
      </c>
      <c r="K132" s="39">
        <f>I132*J132</f>
        <v>4</v>
      </c>
      <c r="L132" s="36" t="s">
        <v>776</v>
      </c>
      <c r="M132" s="38">
        <v>1</v>
      </c>
      <c r="N132" s="41">
        <f>K132*M132</f>
        <v>4</v>
      </c>
      <c r="O132" s="17" t="str">
        <f>IF(AND(N132&gt;=0,N132&lt;4),"P3",IF(AND(N132&gt;=4,N132&lt;=8),"P2",IF(N132&gt;8,"P1","")))</f>
        <v>P2</v>
      </c>
      <c r="P132" s="10" t="s">
        <v>578</v>
      </c>
      <c r="Q132" s="36"/>
      <c r="R132" s="38"/>
      <c r="S132" s="38"/>
      <c r="T132" s="38"/>
    </row>
    <row r="133" spans="1:20" ht="195" x14ac:dyDescent="0.25">
      <c r="A133" s="10" t="s">
        <v>305</v>
      </c>
      <c r="B133" s="10" t="s">
        <v>306</v>
      </c>
      <c r="C133" s="10" t="s">
        <v>307</v>
      </c>
      <c r="D133" s="15">
        <v>38</v>
      </c>
      <c r="E133" s="10" t="s">
        <v>36</v>
      </c>
      <c r="F133" s="10" t="s">
        <v>35</v>
      </c>
      <c r="G133" s="33" t="s">
        <v>454</v>
      </c>
      <c r="H133" s="35" t="s">
        <v>308</v>
      </c>
      <c r="I133" s="37">
        <v>2</v>
      </c>
      <c r="J133" s="37">
        <v>4</v>
      </c>
      <c r="K133" s="47">
        <f>Tableau1434567[[#This Row],[Fréquence]]*Tableau1434567[[#This Row],[Gravité]]</f>
        <v>8</v>
      </c>
      <c r="L133" s="35" t="s">
        <v>455</v>
      </c>
      <c r="M133" s="37">
        <v>0.75</v>
      </c>
      <c r="N133" s="48">
        <f>Tableau1434567[[#This Row],[Priorité initiale]]*Tableau1434567[[#This Row],[Moyen de Maitrise]]</f>
        <v>6</v>
      </c>
      <c r="O133" s="17" t="str">
        <f>IF(AND(N133&gt;=0,N133&lt;4),"P3",IF(AND(N133&gt;=4,N133&lt;=8),"P2",IF(N133&gt;8,"P1","")))</f>
        <v>P2</v>
      </c>
      <c r="P133" s="10" t="s">
        <v>456</v>
      </c>
      <c r="Q133" s="37"/>
      <c r="R133" s="37"/>
      <c r="S133" s="37"/>
      <c r="T133" s="37"/>
    </row>
    <row r="134" spans="1:20" ht="45" x14ac:dyDescent="0.25">
      <c r="A134" s="10" t="s">
        <v>305</v>
      </c>
      <c r="B134" s="10" t="s">
        <v>306</v>
      </c>
      <c r="C134" s="10" t="s">
        <v>307</v>
      </c>
      <c r="D134" s="15">
        <v>38</v>
      </c>
      <c r="E134" s="10" t="s">
        <v>36</v>
      </c>
      <c r="F134" s="10" t="s">
        <v>457</v>
      </c>
      <c r="G134" s="33" t="s">
        <v>454</v>
      </c>
      <c r="H134" s="35" t="s">
        <v>308</v>
      </c>
      <c r="I134" s="37">
        <v>2</v>
      </c>
      <c r="J134" s="37">
        <v>4</v>
      </c>
      <c r="K134" s="47">
        <f>Tableau1434567[[#This Row],[Fréquence]]*Tableau1434567[[#This Row],[Gravité]]</f>
        <v>8</v>
      </c>
      <c r="L134" s="35" t="s">
        <v>458</v>
      </c>
      <c r="M134" s="37">
        <v>0.75</v>
      </c>
      <c r="N134" s="48">
        <f>Tableau1434567[[#This Row],[Priorité initiale]]*Tableau1434567[[#This Row],[Moyen de Maitrise]]</f>
        <v>6</v>
      </c>
      <c r="O134" s="17" t="str">
        <f>IF(AND(N134&gt;=0,N134&lt;4),"P3",IF(AND(N134&gt;=4,N134&lt;=8),"P2",IF(N134&gt;8,"P1","")))</f>
        <v>P2</v>
      </c>
      <c r="P134" s="10" t="s">
        <v>456</v>
      </c>
      <c r="Q134" s="37"/>
      <c r="R134" s="37"/>
      <c r="S134" s="37"/>
      <c r="T134" s="37"/>
    </row>
    <row r="135" spans="1:20" ht="105" x14ac:dyDescent="0.25">
      <c r="A135" s="10" t="s">
        <v>614</v>
      </c>
      <c r="B135" s="10" t="s">
        <v>615</v>
      </c>
      <c r="C135" s="10" t="s">
        <v>616</v>
      </c>
      <c r="D135" s="15">
        <v>38</v>
      </c>
      <c r="E135" s="10" t="s">
        <v>36</v>
      </c>
      <c r="F135" s="10" t="s">
        <v>686</v>
      </c>
      <c r="G135" s="33" t="s">
        <v>34</v>
      </c>
      <c r="H135" s="35" t="s">
        <v>617</v>
      </c>
      <c r="I135" s="37">
        <v>2</v>
      </c>
      <c r="J135" s="37">
        <v>4</v>
      </c>
      <c r="K135" s="47">
        <f>Tableau1434567[[#This Row],[Fréquence]]*Tableau1434567[[#This Row],[Gravité]]</f>
        <v>8</v>
      </c>
      <c r="L135" s="35" t="s">
        <v>687</v>
      </c>
      <c r="M135" s="37">
        <v>0.5</v>
      </c>
      <c r="N135" s="48">
        <f>Tableau1434567[[#This Row],[Moyen de Maitrise]]*Tableau1434567[[#This Row],[Priorité initiale]]</f>
        <v>4</v>
      </c>
      <c r="O135" s="17" t="str">
        <f>IF(AND(N135&gt;=0,N135&lt;4),"P3",IF(AND(N135&gt;=4,N135&lt;=8),"P2",IF(N135&gt;8,"P1","")))</f>
        <v>P2</v>
      </c>
      <c r="P135" s="10" t="s">
        <v>688</v>
      </c>
      <c r="Q135" s="37"/>
      <c r="R135" s="37"/>
      <c r="S135" s="37"/>
      <c r="T135" s="37"/>
    </row>
    <row r="136" spans="1:20" ht="270" x14ac:dyDescent="0.25">
      <c r="A136" s="10" t="s">
        <v>751</v>
      </c>
      <c r="B136" s="10" t="s">
        <v>752</v>
      </c>
      <c r="C136" s="10" t="s">
        <v>753</v>
      </c>
      <c r="D136" s="15">
        <v>38</v>
      </c>
      <c r="E136" s="10" t="s">
        <v>36</v>
      </c>
      <c r="F136" s="10" t="s">
        <v>35</v>
      </c>
      <c r="G136" s="34" t="s">
        <v>34</v>
      </c>
      <c r="H136" s="36" t="s">
        <v>755</v>
      </c>
      <c r="I136" s="38">
        <v>2</v>
      </c>
      <c r="J136" s="38">
        <v>4</v>
      </c>
      <c r="K136" s="39">
        <f>I136*J136</f>
        <v>8</v>
      </c>
      <c r="L136" s="36" t="s">
        <v>770</v>
      </c>
      <c r="M136" s="38">
        <v>0.75</v>
      </c>
      <c r="N136" s="41">
        <f>K136*M136</f>
        <v>6</v>
      </c>
      <c r="O136" s="17" t="str">
        <f>IF(AND(N136&gt;=0,N136&lt;4),"P3",IF(AND(N136&gt;=4,N136&lt;=8),"P2",IF(N136&gt;8,"P1","")))</f>
        <v>P2</v>
      </c>
      <c r="P136" s="10" t="s">
        <v>771</v>
      </c>
      <c r="Q136" s="36"/>
      <c r="R136" s="38"/>
      <c r="S136" s="38"/>
      <c r="T136" s="38"/>
    </row>
    <row r="137" spans="1:20" ht="105" x14ac:dyDescent="0.25">
      <c r="A137" s="10" t="s">
        <v>305</v>
      </c>
      <c r="B137" s="10" t="s">
        <v>306</v>
      </c>
      <c r="C137" s="10" t="s">
        <v>307</v>
      </c>
      <c r="D137" s="7">
        <v>39</v>
      </c>
      <c r="E137" s="10" t="s">
        <v>9</v>
      </c>
      <c r="F137" s="10" t="s">
        <v>8</v>
      </c>
      <c r="G137" s="33" t="s">
        <v>7</v>
      </c>
      <c r="H137" s="35" t="s">
        <v>308</v>
      </c>
      <c r="I137" s="37">
        <v>1</v>
      </c>
      <c r="J137" s="37">
        <v>4</v>
      </c>
      <c r="K137" s="47">
        <f>Tableau1434567[[#This Row],[Fréquence]]*Tableau1434567[[#This Row],[Gravité]]</f>
        <v>4</v>
      </c>
      <c r="L137" s="35" t="s">
        <v>468</v>
      </c>
      <c r="M137" s="37">
        <v>1</v>
      </c>
      <c r="N137" s="48">
        <f>Tableau1434567[[#This Row],[Priorité initiale]]*Tableau1434567[[#This Row],[Moyen de Maitrise]]</f>
        <v>4</v>
      </c>
      <c r="O137" s="17" t="str">
        <f>IF(AND(N137&gt;=0,N137&lt;4),"P3",IF(AND(N137&gt;=4,N137&lt;=8),"P2",IF(N137&gt;8,"P1","")))</f>
        <v>P2</v>
      </c>
      <c r="P137" s="10" t="s">
        <v>469</v>
      </c>
      <c r="Q137" s="37"/>
      <c r="R137" s="45"/>
      <c r="S137" s="37"/>
      <c r="T137" s="37"/>
    </row>
    <row r="138" spans="1:20" ht="120" x14ac:dyDescent="0.25">
      <c r="A138" s="10" t="s">
        <v>490</v>
      </c>
      <c r="B138" s="10" t="s">
        <v>491</v>
      </c>
      <c r="C138" s="10" t="s">
        <v>492</v>
      </c>
      <c r="D138" s="7">
        <v>39</v>
      </c>
      <c r="E138" s="10" t="s">
        <v>9</v>
      </c>
      <c r="F138" s="10" t="s">
        <v>8</v>
      </c>
      <c r="G138" s="33" t="s">
        <v>7</v>
      </c>
      <c r="H138" s="35" t="s">
        <v>493</v>
      </c>
      <c r="I138" s="37">
        <v>1</v>
      </c>
      <c r="J138" s="37">
        <v>4</v>
      </c>
      <c r="K138" s="47">
        <f>Tableau1434567[[#This Row],[Fréquence]]*Tableau1434567[[#This Row],[Gravité]]</f>
        <v>4</v>
      </c>
      <c r="L138" s="35" t="s">
        <v>6</v>
      </c>
      <c r="M138" s="37">
        <v>1</v>
      </c>
      <c r="N138" s="48">
        <f>Tableau1434567[[#This Row],[Moyen de Maitrise]]*Tableau1434567[[#This Row],[Priorité initiale]]</f>
        <v>4</v>
      </c>
      <c r="O138" s="17" t="str">
        <f>IF(AND(N138&gt;=0,N138&lt;4),"P3",IF(AND(N138&gt;=4,N138&lt;=8),"P2",IF(N138&gt;8,"P1","")))</f>
        <v>P2</v>
      </c>
      <c r="P138" s="10" t="s">
        <v>5</v>
      </c>
      <c r="Q138" s="37"/>
      <c r="R138" s="37"/>
      <c r="S138" s="37"/>
      <c r="T138" s="37"/>
    </row>
    <row r="139" spans="1:20" ht="120" x14ac:dyDescent="0.25">
      <c r="A139" s="10" t="s">
        <v>614</v>
      </c>
      <c r="B139" s="10" t="s">
        <v>615</v>
      </c>
      <c r="C139" s="10" t="s">
        <v>633</v>
      </c>
      <c r="D139" s="7">
        <v>39</v>
      </c>
      <c r="E139" s="10" t="s">
        <v>9</v>
      </c>
      <c r="F139" s="10" t="s">
        <v>8</v>
      </c>
      <c r="G139" s="33" t="s">
        <v>7</v>
      </c>
      <c r="H139" s="35" t="s">
        <v>617</v>
      </c>
      <c r="I139" s="37">
        <v>1</v>
      </c>
      <c r="J139" s="37">
        <v>4</v>
      </c>
      <c r="K139" s="47">
        <f>Tableau1434567[[#This Row],[Fréquence]]*Tableau1434567[[#This Row],[Gravité]]</f>
        <v>4</v>
      </c>
      <c r="L139" s="35" t="s">
        <v>6</v>
      </c>
      <c r="M139" s="37">
        <v>1</v>
      </c>
      <c r="N139" s="48">
        <f>Tableau1434567[[#This Row],[Moyen de Maitrise]]*Tableau1434567[[#This Row],[Priorité initiale]]</f>
        <v>4</v>
      </c>
      <c r="O139" s="17" t="str">
        <f>IF(AND(N139&gt;=0,N139&lt;4),"P3",IF(AND(N139&gt;=4,N139&lt;=8),"P2",IF(N139&gt;8,"P1","")))</f>
        <v>P2</v>
      </c>
      <c r="P139" s="10" t="s">
        <v>5</v>
      </c>
      <c r="Q139" s="37"/>
      <c r="R139" s="37"/>
      <c r="S139" s="37"/>
      <c r="T139" s="37"/>
    </row>
    <row r="140" spans="1:20" ht="120" x14ac:dyDescent="0.25">
      <c r="A140" s="10" t="s">
        <v>751</v>
      </c>
      <c r="B140" s="10" t="s">
        <v>752</v>
      </c>
      <c r="C140" s="10" t="s">
        <v>753</v>
      </c>
      <c r="D140" s="7">
        <v>39</v>
      </c>
      <c r="E140" s="10" t="s">
        <v>9</v>
      </c>
      <c r="F140" s="10" t="s">
        <v>8</v>
      </c>
      <c r="G140" s="33" t="s">
        <v>7</v>
      </c>
      <c r="H140" s="35" t="s">
        <v>755</v>
      </c>
      <c r="I140" s="37">
        <v>1</v>
      </c>
      <c r="J140" s="37">
        <v>4</v>
      </c>
      <c r="K140" s="39">
        <f>I140*J140</f>
        <v>4</v>
      </c>
      <c r="L140" s="35" t="s">
        <v>6</v>
      </c>
      <c r="M140" s="37">
        <v>1</v>
      </c>
      <c r="N140" s="41">
        <f>K140*M140</f>
        <v>4</v>
      </c>
      <c r="O140" s="17" t="str">
        <f>IF(AND(N140&gt;=0,N140&lt;4),"P3",IF(AND(N140&gt;=4,N140&lt;=8),"P2",IF(N140&gt;8,"P1","")))</f>
        <v>P2</v>
      </c>
      <c r="P140" s="10" t="s">
        <v>5</v>
      </c>
      <c r="Q140" s="35"/>
      <c r="R140" s="37"/>
      <c r="S140" s="37"/>
      <c r="T140" s="37"/>
    </row>
    <row r="141" spans="1:20" ht="165" x14ac:dyDescent="0.25">
      <c r="A141" s="10" t="s">
        <v>305</v>
      </c>
      <c r="B141" s="10" t="s">
        <v>306</v>
      </c>
      <c r="C141" s="10" t="s">
        <v>307</v>
      </c>
      <c r="D141" s="15">
        <v>40</v>
      </c>
      <c r="E141" s="10" t="s">
        <v>111</v>
      </c>
      <c r="F141" s="10" t="s">
        <v>397</v>
      </c>
      <c r="G141" s="33" t="s">
        <v>109</v>
      </c>
      <c r="H141" s="35" t="s">
        <v>308</v>
      </c>
      <c r="I141" s="37">
        <v>1</v>
      </c>
      <c r="J141" s="37">
        <v>4</v>
      </c>
      <c r="K141" s="47">
        <f>Tableau1434567[[#This Row],[Fréquence]]*Tableau1434567[[#This Row],[Gravité]]</f>
        <v>4</v>
      </c>
      <c r="L141" s="35" t="s">
        <v>398</v>
      </c>
      <c r="M141" s="37">
        <v>1</v>
      </c>
      <c r="N141" s="48">
        <f>Tableau1434567[[#This Row],[Priorité initiale]]*Tableau1434567[[#This Row],[Moyen de Maitrise]]</f>
        <v>4</v>
      </c>
      <c r="O141" s="17" t="str">
        <f>IF(AND(N141&gt;=0,N141&lt;4),"P3",IF(AND(N141&gt;=4,N141&lt;=8),"P2",IF(N141&gt;8,"P1","")))</f>
        <v>P2</v>
      </c>
      <c r="P141" s="10"/>
      <c r="Q141" s="43"/>
      <c r="R141" s="45"/>
      <c r="S141" s="37"/>
      <c r="T141" s="37"/>
    </row>
    <row r="142" spans="1:20" ht="105" x14ac:dyDescent="0.25">
      <c r="A142" s="10" t="s">
        <v>490</v>
      </c>
      <c r="B142" s="10" t="s">
        <v>491</v>
      </c>
      <c r="C142" s="10" t="s">
        <v>492</v>
      </c>
      <c r="D142" s="15">
        <v>40</v>
      </c>
      <c r="E142" s="10" t="s">
        <v>111</v>
      </c>
      <c r="F142" s="10" t="s">
        <v>110</v>
      </c>
      <c r="G142" s="33" t="s">
        <v>109</v>
      </c>
      <c r="H142" s="35" t="s">
        <v>493</v>
      </c>
      <c r="I142" s="37">
        <v>2</v>
      </c>
      <c r="J142" s="37">
        <v>4</v>
      </c>
      <c r="K142" s="47">
        <f>Tableau1434567[[#This Row],[Fréquence]]*Tableau1434567[[#This Row],[Gravité]]</f>
        <v>8</v>
      </c>
      <c r="L142" s="35" t="s">
        <v>112</v>
      </c>
      <c r="M142" s="37">
        <v>0.5</v>
      </c>
      <c r="N142" s="48">
        <f>Tableau1434567[[#This Row],[Moyen de Maitrise]]*Tableau1434567[[#This Row],[Priorité initiale]]</f>
        <v>4</v>
      </c>
      <c r="O142" s="17" t="str">
        <f>IF(AND(N142&gt;=0,N142&lt;4),"P3",IF(AND(N142&gt;=4,N142&lt;=8),"P2",IF(N142&gt;8,"P1","")))</f>
        <v>P2</v>
      </c>
      <c r="P142" s="10" t="s">
        <v>558</v>
      </c>
      <c r="Q142" s="37"/>
      <c r="R142" s="37"/>
      <c r="S142" s="37"/>
      <c r="T142" s="37"/>
    </row>
    <row r="143" spans="1:20" ht="105" x14ac:dyDescent="0.25">
      <c r="A143" s="10" t="s">
        <v>614</v>
      </c>
      <c r="B143" s="10" t="s">
        <v>615</v>
      </c>
      <c r="C143" s="10" t="s">
        <v>616</v>
      </c>
      <c r="D143" s="15">
        <v>40</v>
      </c>
      <c r="E143" s="10" t="s">
        <v>111</v>
      </c>
      <c r="F143" s="10" t="s">
        <v>110</v>
      </c>
      <c r="G143" s="4" t="s">
        <v>109</v>
      </c>
      <c r="H143" s="6" t="s">
        <v>617</v>
      </c>
      <c r="I143" s="1">
        <v>1</v>
      </c>
      <c r="J143" s="1">
        <v>4</v>
      </c>
      <c r="K143" s="16">
        <f>Tableau1434567[[#This Row],[Fréquence]]*Tableau1434567[[#This Row],[Gravité]]</f>
        <v>4</v>
      </c>
      <c r="L143" s="6" t="s">
        <v>664</v>
      </c>
      <c r="M143" s="1">
        <v>1</v>
      </c>
      <c r="N143" s="2">
        <f>Tableau1434567[[#This Row],[Moyen de Maitrise]]*Tableau1434567[[#This Row],[Priorité initiale]]</f>
        <v>4</v>
      </c>
      <c r="O143" s="17" t="str">
        <f>IF(AND(N143&gt;=0,N143&lt;4),"P3",IF(AND(N143&gt;=4,N143&lt;=8),"P2",IF(N143&gt;8,"P1","")))</f>
        <v>P2</v>
      </c>
      <c r="P143" s="10" t="s">
        <v>665</v>
      </c>
    </row>
    <row r="144" spans="1:20" ht="45" x14ac:dyDescent="0.25">
      <c r="A144" s="10" t="s">
        <v>305</v>
      </c>
      <c r="B144" s="10" t="s">
        <v>306</v>
      </c>
      <c r="C144" s="10" t="s">
        <v>307</v>
      </c>
      <c r="D144" s="15">
        <v>42</v>
      </c>
      <c r="E144" s="10" t="s">
        <v>828</v>
      </c>
      <c r="F144" s="10" t="s">
        <v>484</v>
      </c>
      <c r="G144" s="4" t="s">
        <v>440</v>
      </c>
      <c r="H144" s="6" t="s">
        <v>308</v>
      </c>
      <c r="I144" s="1">
        <v>2</v>
      </c>
      <c r="J144" s="1">
        <v>4</v>
      </c>
      <c r="K144" s="16">
        <f>Tableau1434567[[#This Row],[Fréquence]]*Tableau1434567[[#This Row],[Gravité]]</f>
        <v>8</v>
      </c>
      <c r="L144" s="6" t="s">
        <v>485</v>
      </c>
      <c r="M144" s="1">
        <v>0.75</v>
      </c>
      <c r="N144" s="2">
        <f>Tableau1434567[[#This Row],[Priorité initiale]]*Tableau1434567[[#This Row],[Moyen de Maitrise]]</f>
        <v>6</v>
      </c>
      <c r="O144" s="17" t="str">
        <f>IF(AND(N144&gt;=0,N144&lt;4),"P3",IF(AND(N144&gt;=4,N144&lt;=8),"P2",IF(N144&gt;8,"P1","")))</f>
        <v>P2</v>
      </c>
      <c r="P144" s="10"/>
      <c r="Q144" s="18"/>
      <c r="R144" s="6"/>
    </row>
    <row r="145" spans="1:18" ht="45" x14ac:dyDescent="0.25">
      <c r="A145" s="10" t="s">
        <v>305</v>
      </c>
      <c r="B145" s="10" t="s">
        <v>306</v>
      </c>
      <c r="C145" s="10" t="s">
        <v>307</v>
      </c>
      <c r="D145" s="15">
        <v>43</v>
      </c>
      <c r="E145" s="10" t="s">
        <v>486</v>
      </c>
      <c r="F145" s="10" t="s">
        <v>487</v>
      </c>
      <c r="G145" s="4" t="s">
        <v>488</v>
      </c>
      <c r="H145" s="6" t="s">
        <v>308</v>
      </c>
      <c r="I145" s="1">
        <v>1</v>
      </c>
      <c r="J145" s="1">
        <v>4</v>
      </c>
      <c r="K145" s="16">
        <f>Tableau1434567[[#This Row],[Fréquence]]*Tableau1434567[[#This Row],[Gravité]]</f>
        <v>4</v>
      </c>
      <c r="L145" s="6" t="s">
        <v>489</v>
      </c>
      <c r="M145" s="1">
        <v>1</v>
      </c>
      <c r="N145" s="2">
        <f>Tableau1434567[[#This Row],[Priorité initiale]]*Tableau1434567[[#This Row],[Moyen de Maitrise]]</f>
        <v>4</v>
      </c>
      <c r="O145" s="17" t="str">
        <f>IF(AND(N145&gt;=0,N145&lt;4),"P3",IF(AND(N145&gt;=4,N145&lt;=8),"P2",IF(N145&gt;8,"P1","")))</f>
        <v>P2</v>
      </c>
      <c r="P145" s="10"/>
      <c r="R145" s="14"/>
    </row>
    <row r="146" spans="1:18" ht="225" x14ac:dyDescent="0.25">
      <c r="A146" s="4" t="s">
        <v>854</v>
      </c>
      <c r="B146" s="4" t="s">
        <v>855</v>
      </c>
      <c r="C146" s="4" t="s">
        <v>856</v>
      </c>
      <c r="D146" s="7">
        <v>1</v>
      </c>
      <c r="E146" s="4" t="s">
        <v>246</v>
      </c>
      <c r="F146" s="4" t="s">
        <v>245</v>
      </c>
      <c r="G146" s="4" t="s">
        <v>244</v>
      </c>
      <c r="H146" s="4" t="s">
        <v>857</v>
      </c>
      <c r="I146" s="1">
        <v>1</v>
      </c>
      <c r="J146" s="1">
        <v>4</v>
      </c>
      <c r="K146" s="1">
        <f>Tableau1434567[[#This Row],[Fréquence]]*Tableau1434567[[#This Row],[Gravité]]</f>
        <v>4</v>
      </c>
      <c r="L146" s="4" t="s">
        <v>746</v>
      </c>
      <c r="M146" s="1">
        <v>1</v>
      </c>
      <c r="N146" s="5">
        <f>Tableau1434567[[#This Row],[Priorité initiale]]*Tableau1434567[[#This Row],[Moyen de Maitrise]]</f>
        <v>4</v>
      </c>
      <c r="O146" s="17" t="str">
        <f>IF(AND(N146&gt;=0,N146&lt;4),"P3",IF(AND(N146&gt;=4,N146&lt;=8),"P2",IF(N146&gt;8,"P1","")))</f>
        <v>P2</v>
      </c>
      <c r="P146" s="4" t="s">
        <v>546</v>
      </c>
    </row>
    <row r="147" spans="1:18" ht="240" x14ac:dyDescent="0.25">
      <c r="A147" s="4" t="s">
        <v>854</v>
      </c>
      <c r="B147" s="4" t="s">
        <v>855</v>
      </c>
      <c r="C147" s="4" t="s">
        <v>858</v>
      </c>
      <c r="D147" s="7">
        <v>1</v>
      </c>
      <c r="E147" s="4" t="s">
        <v>246</v>
      </c>
      <c r="F147" s="4" t="s">
        <v>245</v>
      </c>
      <c r="G147" s="4" t="s">
        <v>244</v>
      </c>
      <c r="H147" s="4" t="s">
        <v>859</v>
      </c>
      <c r="I147" s="1">
        <v>1</v>
      </c>
      <c r="J147" s="1">
        <v>4</v>
      </c>
      <c r="K147" s="1">
        <f>Tableau1434567[[#This Row],[Fréquence]]*Tableau1434567[[#This Row],[Gravité]]</f>
        <v>4</v>
      </c>
      <c r="L147" s="4"/>
      <c r="M147" s="1">
        <v>1</v>
      </c>
      <c r="N147" s="5">
        <f>Tableau1434567[[#This Row],[Priorité initiale]]*Tableau1434567[[#This Row],[Moyen de Maitrise]]</f>
        <v>4</v>
      </c>
      <c r="O147" s="17" t="str">
        <f>IF(AND(N147&gt;=0,N147&lt;4),"P3",IF(AND(N147&gt;=4,N147&lt;=8),"P2",IF(N147&gt;8,"P1","")))</f>
        <v>P2</v>
      </c>
      <c r="P147" s="4" t="s">
        <v>860</v>
      </c>
    </row>
    <row r="148" spans="1:18" ht="135" x14ac:dyDescent="0.25">
      <c r="A148" s="4" t="s">
        <v>854</v>
      </c>
      <c r="B148" s="4" t="s">
        <v>855</v>
      </c>
      <c r="C148" s="4" t="s">
        <v>858</v>
      </c>
      <c r="D148" s="7">
        <v>1</v>
      </c>
      <c r="E148" s="4" t="s">
        <v>246</v>
      </c>
      <c r="F148" s="4" t="s">
        <v>245</v>
      </c>
      <c r="G148" s="4" t="s">
        <v>244</v>
      </c>
      <c r="H148" s="4" t="s">
        <v>859</v>
      </c>
      <c r="I148" s="1">
        <v>1</v>
      </c>
      <c r="J148" s="1">
        <v>4</v>
      </c>
      <c r="K148" s="1">
        <f>Tableau1434567[[#This Row],[Fréquence]]*Tableau1434567[[#This Row],[Gravité]]</f>
        <v>4</v>
      </c>
      <c r="L148" s="4" t="s">
        <v>861</v>
      </c>
      <c r="M148" s="1">
        <v>1</v>
      </c>
      <c r="N148" s="5">
        <f>Tableau1434567[[#This Row],[Priorité initiale]]*Tableau1434567[[#This Row],[Moyen de Maitrise]]</f>
        <v>4</v>
      </c>
      <c r="O148" s="17" t="str">
        <f>IF(AND(N148&gt;=0,N148&lt;4),"P3",IF(AND(N148&gt;=4,N148&lt;=8),"P2",IF(N148&gt;8,"P1","")))</f>
        <v>P2</v>
      </c>
      <c r="P148" s="4"/>
    </row>
    <row r="149" spans="1:18" ht="195" x14ac:dyDescent="0.25">
      <c r="A149" s="4" t="s">
        <v>854</v>
      </c>
      <c r="B149" s="4" t="s">
        <v>855</v>
      </c>
      <c r="C149" s="4" t="s">
        <v>862</v>
      </c>
      <c r="D149" s="7">
        <v>1</v>
      </c>
      <c r="E149" s="4" t="s">
        <v>246</v>
      </c>
      <c r="F149" s="4" t="s">
        <v>245</v>
      </c>
      <c r="G149" s="4" t="s">
        <v>244</v>
      </c>
      <c r="H149" s="4" t="s">
        <v>859</v>
      </c>
      <c r="I149" s="1">
        <v>1</v>
      </c>
      <c r="J149" s="1">
        <v>4</v>
      </c>
      <c r="K149" s="1">
        <f>Tableau1434567[[#This Row],[Fréquence]]*Tableau1434567[[#This Row],[Gravité]]</f>
        <v>4</v>
      </c>
      <c r="L149" s="4" t="s">
        <v>746</v>
      </c>
      <c r="M149" s="1">
        <v>1</v>
      </c>
      <c r="N149" s="5">
        <f>Tableau1434567[[#This Row],[Priorité initiale]]*Tableau1434567[[#This Row],[Moyen de Maitrise]]</f>
        <v>4</v>
      </c>
      <c r="O149" s="17" t="str">
        <f>IF(AND(N149&gt;=0,N149&lt;4),"P3",IF(AND(N149&gt;=4,N149&lt;=8),"P2",IF(N149&gt;8,"P1","")))</f>
        <v>P2</v>
      </c>
      <c r="P149" s="4" t="s">
        <v>247</v>
      </c>
    </row>
    <row r="150" spans="1:18" ht="240" x14ac:dyDescent="0.25">
      <c r="A150" s="4" t="s">
        <v>854</v>
      </c>
      <c r="B150" s="4" t="s">
        <v>855</v>
      </c>
      <c r="C150" s="4" t="s">
        <v>863</v>
      </c>
      <c r="D150" s="7">
        <v>1</v>
      </c>
      <c r="E150" s="4" t="s">
        <v>246</v>
      </c>
      <c r="F150" s="4" t="s">
        <v>245</v>
      </c>
      <c r="G150" s="4" t="s">
        <v>244</v>
      </c>
      <c r="H150" s="4" t="s">
        <v>857</v>
      </c>
      <c r="I150" s="1">
        <v>1</v>
      </c>
      <c r="J150" s="1">
        <v>4</v>
      </c>
      <c r="K150" s="1">
        <f>Tableau1434567[[#This Row],[Fréquence]]*Tableau1434567[[#This Row],[Gravité]]</f>
        <v>4</v>
      </c>
      <c r="L150" s="4" t="s">
        <v>861</v>
      </c>
      <c r="M150" s="1">
        <v>1</v>
      </c>
      <c r="N150" s="5">
        <f>Tableau1434567[[#This Row],[Priorité initiale]]*Tableau1434567[[#This Row],[Moyen de Maitrise]]</f>
        <v>4</v>
      </c>
      <c r="O150" s="17" t="str">
        <f>IF(AND(N150&gt;=0,N150&lt;4),"P3",IF(AND(N150&gt;=4,N150&lt;=8),"P2",IF(N150&gt;8,"P1","")))</f>
        <v>P2</v>
      </c>
      <c r="P150" s="4" t="s">
        <v>860</v>
      </c>
    </row>
    <row r="151" spans="1:18" ht="225" x14ac:dyDescent="0.25">
      <c r="A151" s="4" t="s">
        <v>854</v>
      </c>
      <c r="B151" s="4" t="s">
        <v>855</v>
      </c>
      <c r="C151" s="4" t="s">
        <v>864</v>
      </c>
      <c r="D151" s="7">
        <v>1</v>
      </c>
      <c r="E151" s="4" t="s">
        <v>246</v>
      </c>
      <c r="F151" s="4" t="s">
        <v>245</v>
      </c>
      <c r="G151" s="4" t="s">
        <v>244</v>
      </c>
      <c r="H151" s="4" t="s">
        <v>857</v>
      </c>
      <c r="I151" s="1">
        <v>1</v>
      </c>
      <c r="J151" s="1">
        <v>4</v>
      </c>
      <c r="K151" s="1">
        <f>Tableau1434567[[#This Row],[Fréquence]]*Tableau1434567[[#This Row],[Gravité]]</f>
        <v>4</v>
      </c>
      <c r="L151" s="4" t="s">
        <v>248</v>
      </c>
      <c r="M151" s="1">
        <v>1</v>
      </c>
      <c r="N151" s="5">
        <f>Tableau1434567[[#This Row],[Priorité initiale]]*Tableau1434567[[#This Row],[Moyen de Maitrise]]</f>
        <v>4</v>
      </c>
      <c r="O151" s="17" t="str">
        <f>IF(AND(N151&gt;=0,N151&lt;4),"P3",IF(AND(N151&gt;=4,N151&lt;=8),"P2",IF(N151&gt;8,"P1","")))</f>
        <v>P2</v>
      </c>
      <c r="P151" s="4" t="s">
        <v>546</v>
      </c>
    </row>
    <row r="152" spans="1:18" ht="240" x14ac:dyDescent="0.25">
      <c r="A152" s="4" t="s">
        <v>854</v>
      </c>
      <c r="B152" s="4" t="s">
        <v>855</v>
      </c>
      <c r="C152" s="4" t="s">
        <v>865</v>
      </c>
      <c r="D152" s="7">
        <v>1</v>
      </c>
      <c r="E152" s="4" t="s">
        <v>246</v>
      </c>
      <c r="F152" s="4" t="s">
        <v>245</v>
      </c>
      <c r="G152" s="4" t="s">
        <v>244</v>
      </c>
      <c r="H152" s="4" t="s">
        <v>857</v>
      </c>
      <c r="I152" s="1">
        <v>1</v>
      </c>
      <c r="J152" s="1">
        <v>4</v>
      </c>
      <c r="K152" s="1">
        <f>Tableau1434567[[#This Row],[Fréquence]]*Tableau1434567[[#This Row],[Gravité]]</f>
        <v>4</v>
      </c>
      <c r="L152" s="4" t="s">
        <v>861</v>
      </c>
      <c r="M152" s="1">
        <v>1</v>
      </c>
      <c r="N152" s="5">
        <f>Tableau1434567[[#This Row],[Priorité initiale]]*Tableau1434567[[#This Row],[Moyen de Maitrise]]</f>
        <v>4</v>
      </c>
      <c r="O152" s="17" t="str">
        <f>IF(AND(N152&gt;=0,N152&lt;4),"P3",IF(AND(N152&gt;=4,N152&lt;=8),"P2",IF(N152&gt;8,"P1","")))</f>
        <v>P2</v>
      </c>
      <c r="P152" s="4" t="s">
        <v>860</v>
      </c>
    </row>
    <row r="153" spans="1:18" ht="240" x14ac:dyDescent="0.25">
      <c r="A153" s="4" t="s">
        <v>854</v>
      </c>
      <c r="B153" s="4" t="s">
        <v>855</v>
      </c>
      <c r="C153" s="4" t="s">
        <v>866</v>
      </c>
      <c r="D153" s="7">
        <v>1</v>
      </c>
      <c r="E153" s="4" t="s">
        <v>246</v>
      </c>
      <c r="F153" s="4" t="s">
        <v>245</v>
      </c>
      <c r="G153" s="4" t="s">
        <v>244</v>
      </c>
      <c r="H153" s="4" t="s">
        <v>859</v>
      </c>
      <c r="I153" s="1">
        <v>1</v>
      </c>
      <c r="J153" s="1">
        <v>4</v>
      </c>
      <c r="K153" s="1">
        <f>Tableau1434567[[#This Row],[Fréquence]]*Tableau1434567[[#This Row],[Gravité]]</f>
        <v>4</v>
      </c>
      <c r="L153" s="4" t="s">
        <v>861</v>
      </c>
      <c r="M153" s="1">
        <v>1</v>
      </c>
      <c r="N153" s="5">
        <f>Tableau1434567[[#This Row],[Priorité initiale]]*Tableau1434567[[#This Row],[Moyen de Maitrise]]</f>
        <v>4</v>
      </c>
      <c r="O153" s="17" t="str">
        <f>IF(AND(N153&gt;=0,N153&lt;4),"P3",IF(AND(N153&gt;=4,N153&lt;=8),"P2",IF(N153&gt;8,"P1","")))</f>
        <v>P2</v>
      </c>
      <c r="P153" s="4" t="s">
        <v>860</v>
      </c>
    </row>
    <row r="154" spans="1:18" ht="300" x14ac:dyDescent="0.25">
      <c r="A154" s="4" t="s">
        <v>854</v>
      </c>
      <c r="B154" s="4" t="s">
        <v>855</v>
      </c>
      <c r="C154" s="4" t="s">
        <v>867</v>
      </c>
      <c r="D154" s="7">
        <v>1</v>
      </c>
      <c r="E154" s="4" t="s">
        <v>246</v>
      </c>
      <c r="F154" s="4" t="s">
        <v>245</v>
      </c>
      <c r="G154" s="4" t="s">
        <v>244</v>
      </c>
      <c r="H154" s="4" t="s">
        <v>859</v>
      </c>
      <c r="I154" s="1">
        <v>1</v>
      </c>
      <c r="J154" s="1">
        <v>4</v>
      </c>
      <c r="K154" s="1">
        <f>Tableau1434567[[#This Row],[Fréquence]]*Tableau1434567[[#This Row],[Gravité]]</f>
        <v>4</v>
      </c>
      <c r="L154" s="4" t="s">
        <v>868</v>
      </c>
      <c r="M154" s="1">
        <v>1</v>
      </c>
      <c r="N154" s="5">
        <f>Tableau1434567[[#This Row],[Priorité initiale]]*Tableau1434567[[#This Row],[Moyen de Maitrise]]</f>
        <v>4</v>
      </c>
      <c r="O154" s="17" t="str">
        <f>IF(AND(N154&gt;=0,N154&lt;4),"P3",IF(AND(N154&gt;=4,N154&lt;=8),"P2",IF(N154&gt;8,"P1","")))</f>
        <v>P2</v>
      </c>
      <c r="P154" s="4" t="s">
        <v>869</v>
      </c>
    </row>
    <row r="155" spans="1:18" ht="240" x14ac:dyDescent="0.25">
      <c r="A155" s="4" t="s">
        <v>854</v>
      </c>
      <c r="B155" s="4" t="s">
        <v>855</v>
      </c>
      <c r="C155" s="4" t="s">
        <v>870</v>
      </c>
      <c r="D155" s="7">
        <v>1</v>
      </c>
      <c r="E155" s="4" t="s">
        <v>246</v>
      </c>
      <c r="F155" s="4" t="s">
        <v>245</v>
      </c>
      <c r="G155" s="4" t="s">
        <v>244</v>
      </c>
      <c r="H155" s="4" t="s">
        <v>857</v>
      </c>
      <c r="I155" s="1">
        <v>1</v>
      </c>
      <c r="J155" s="1">
        <v>4</v>
      </c>
      <c r="K155" s="1">
        <f>Tableau1434567[[#This Row],[Fréquence]]*Tableau1434567[[#This Row],[Gravité]]</f>
        <v>4</v>
      </c>
      <c r="L155" s="4" t="s">
        <v>861</v>
      </c>
      <c r="M155" s="1">
        <v>1</v>
      </c>
      <c r="N155" s="5">
        <f>Tableau1434567[[#This Row],[Priorité initiale]]*Tableau1434567[[#This Row],[Moyen de Maitrise]]</f>
        <v>4</v>
      </c>
      <c r="O155" s="17" t="str">
        <f>IF(AND(N155&gt;=0,N155&lt;4),"P3",IF(AND(N155&gt;=4,N155&lt;=8),"P2",IF(N155&gt;8,"P1","")))</f>
        <v>P2</v>
      </c>
      <c r="P155" s="4" t="s">
        <v>860</v>
      </c>
    </row>
    <row r="156" spans="1:18" ht="240" x14ac:dyDescent="0.25">
      <c r="A156" s="4" t="s">
        <v>854</v>
      </c>
      <c r="B156" s="4" t="s">
        <v>855</v>
      </c>
      <c r="C156" s="4" t="s">
        <v>871</v>
      </c>
      <c r="D156" s="7">
        <v>1</v>
      </c>
      <c r="E156" s="4" t="s">
        <v>246</v>
      </c>
      <c r="F156" s="4" t="s">
        <v>245</v>
      </c>
      <c r="G156" s="4" t="s">
        <v>244</v>
      </c>
      <c r="H156" s="4" t="s">
        <v>857</v>
      </c>
      <c r="I156" s="1">
        <v>1</v>
      </c>
      <c r="J156" s="1">
        <v>4</v>
      </c>
      <c r="K156" s="1">
        <f>Tableau1434567[[#This Row],[Fréquence]]*Tableau1434567[[#This Row],[Gravité]]</f>
        <v>4</v>
      </c>
      <c r="L156" s="4" t="s">
        <v>861</v>
      </c>
      <c r="M156" s="1">
        <v>1</v>
      </c>
      <c r="N156" s="5">
        <f>Tableau1434567[[#This Row],[Priorité initiale]]*Tableau1434567[[#This Row],[Moyen de Maitrise]]</f>
        <v>4</v>
      </c>
      <c r="O156" s="17" t="str">
        <f>IF(AND(N156&gt;=0,N156&lt;4),"P3",IF(AND(N156&gt;=4,N156&lt;=8),"P2",IF(N156&gt;8,"P1","")))</f>
        <v>P2</v>
      </c>
      <c r="P156" s="4" t="s">
        <v>860</v>
      </c>
    </row>
    <row r="157" spans="1:18" ht="225" x14ac:dyDescent="0.25">
      <c r="A157" s="4" t="s">
        <v>854</v>
      </c>
      <c r="B157" s="4" t="s">
        <v>855</v>
      </c>
      <c r="C157" s="4" t="s">
        <v>872</v>
      </c>
      <c r="D157" s="7">
        <v>1</v>
      </c>
      <c r="E157" s="4" t="s">
        <v>246</v>
      </c>
      <c r="F157" s="4" t="s">
        <v>245</v>
      </c>
      <c r="G157" s="4" t="s">
        <v>244</v>
      </c>
      <c r="H157" s="4" t="s">
        <v>857</v>
      </c>
      <c r="I157" s="1">
        <v>1</v>
      </c>
      <c r="J157" s="1">
        <v>4</v>
      </c>
      <c r="K157" s="1">
        <f>Tableau1434567[[#This Row],[Fréquence]]*Tableau1434567[[#This Row],[Gravité]]</f>
        <v>4</v>
      </c>
      <c r="L157" s="4" t="s">
        <v>746</v>
      </c>
      <c r="M157" s="1">
        <v>1</v>
      </c>
      <c r="N157" s="5">
        <f>Tableau1434567[[#This Row],[Priorité initiale]]*Tableau1434567[[#This Row],[Moyen de Maitrise]]</f>
        <v>4</v>
      </c>
      <c r="O157" s="17" t="str">
        <f>IF(AND(N157&gt;=0,N157&lt;4),"P3",IF(AND(N157&gt;=4,N157&lt;=8),"P2",IF(N157&gt;8,"P1","")))</f>
        <v>P2</v>
      </c>
      <c r="P157" s="4" t="s">
        <v>546</v>
      </c>
    </row>
    <row r="158" spans="1:18" ht="225" x14ac:dyDescent="0.25">
      <c r="A158" s="4" t="s">
        <v>829</v>
      </c>
      <c r="B158" s="4" t="s">
        <v>830</v>
      </c>
      <c r="C158" s="4" t="s">
        <v>873</v>
      </c>
      <c r="D158" s="7">
        <v>1</v>
      </c>
      <c r="E158" s="4" t="s">
        <v>246</v>
      </c>
      <c r="F158" s="4" t="s">
        <v>245</v>
      </c>
      <c r="G158" s="4" t="s">
        <v>244</v>
      </c>
      <c r="H158" s="4" t="s">
        <v>874</v>
      </c>
      <c r="I158" s="1">
        <v>1</v>
      </c>
      <c r="J158" s="1">
        <v>4</v>
      </c>
      <c r="K158" s="1">
        <f>Tableau1434567[[#This Row],[Fréquence]]*Tableau1434567[[#This Row],[Gravité]]</f>
        <v>4</v>
      </c>
      <c r="L158" s="4" t="s">
        <v>248</v>
      </c>
      <c r="M158" s="1">
        <v>1</v>
      </c>
      <c r="N158" s="5">
        <f>Tableau1434567[[#This Row],[Priorité initiale]]*Tableau1434567[[#This Row],[Moyen de Maitrise]]</f>
        <v>4</v>
      </c>
      <c r="O158" s="17" t="str">
        <f>IF(AND(N158&gt;=0,N158&lt;4),"P3",IF(AND(N158&gt;=4,N158&lt;=8),"P2",IF(N158&gt;8,"P1","")))</f>
        <v>P2</v>
      </c>
      <c r="P158" s="4" t="s">
        <v>546</v>
      </c>
    </row>
    <row r="159" spans="1:18" ht="225" x14ac:dyDescent="0.25">
      <c r="A159" s="4" t="s">
        <v>829</v>
      </c>
      <c r="B159" s="4" t="s">
        <v>830</v>
      </c>
      <c r="C159" s="4" t="s">
        <v>875</v>
      </c>
      <c r="D159" s="7">
        <v>1</v>
      </c>
      <c r="E159" s="4" t="s">
        <v>246</v>
      </c>
      <c r="F159" s="4" t="s">
        <v>245</v>
      </c>
      <c r="G159" s="4" t="s">
        <v>244</v>
      </c>
      <c r="H159" s="4" t="s">
        <v>876</v>
      </c>
      <c r="I159" s="1">
        <v>1</v>
      </c>
      <c r="J159" s="1">
        <v>4</v>
      </c>
      <c r="K159" s="1">
        <f>Tableau1434567[[#This Row],[Fréquence]]*Tableau1434567[[#This Row],[Gravité]]</f>
        <v>4</v>
      </c>
      <c r="L159" s="4" t="s">
        <v>877</v>
      </c>
      <c r="M159" s="1">
        <v>1</v>
      </c>
      <c r="N159" s="5">
        <f>Tableau1434567[[#This Row],[Priorité initiale]]*Tableau1434567[[#This Row],[Moyen de Maitrise]]</f>
        <v>4</v>
      </c>
      <c r="O159" s="17" t="str">
        <f>IF(AND(N159&gt;=0,N159&lt;4),"P3",IF(AND(N159&gt;=4,N159&lt;=8),"P2",IF(N159&gt;8,"P1","")))</f>
        <v>P2</v>
      </c>
      <c r="P159" s="4" t="s">
        <v>546</v>
      </c>
    </row>
    <row r="160" spans="1:18" ht="60" x14ac:dyDescent="0.25">
      <c r="A160" s="4" t="s">
        <v>832</v>
      </c>
      <c r="B160" s="4" t="s">
        <v>833</v>
      </c>
      <c r="C160" s="4" t="s">
        <v>834</v>
      </c>
      <c r="D160" s="7">
        <v>3</v>
      </c>
      <c r="E160" s="4" t="s">
        <v>232</v>
      </c>
      <c r="F160" s="4" t="s">
        <v>236</v>
      </c>
      <c r="G160" s="4" t="s">
        <v>235</v>
      </c>
      <c r="H160" s="4" t="s">
        <v>838</v>
      </c>
      <c r="I160" s="1">
        <v>1</v>
      </c>
      <c r="J160" s="1">
        <v>4</v>
      </c>
      <c r="K160" s="1">
        <f>Tableau1434567[[#This Row],[Fréquence]]*Tableau1434567[[#This Row],[Gravité]]</f>
        <v>4</v>
      </c>
      <c r="L160" s="4" t="s">
        <v>234</v>
      </c>
      <c r="M160" s="1">
        <v>1</v>
      </c>
      <c r="N160" s="5">
        <f>Tableau1434567[[#This Row],[Priorité initiale]]*Tableau1434567[[#This Row],[Moyen de Maitrise]]</f>
        <v>4</v>
      </c>
      <c r="O160" s="17" t="str">
        <f>IF(AND(N160&gt;=0,N160&lt;4),"P3",IF(AND(N160&gt;=4,N160&lt;=8),"P2",IF(N160&gt;8,"P1","")))</f>
        <v>P2</v>
      </c>
      <c r="P160" s="4" t="s">
        <v>233</v>
      </c>
    </row>
    <row r="161" spans="1:16" ht="135" x14ac:dyDescent="0.25">
      <c r="A161" s="4" t="s">
        <v>829</v>
      </c>
      <c r="B161" s="4" t="s">
        <v>830</v>
      </c>
      <c r="C161" s="4" t="s">
        <v>831</v>
      </c>
      <c r="D161" s="7">
        <v>3</v>
      </c>
      <c r="E161" s="4" t="s">
        <v>232</v>
      </c>
      <c r="F161" s="4" t="s">
        <v>238</v>
      </c>
      <c r="G161" s="4" t="s">
        <v>237</v>
      </c>
      <c r="H161" s="4" t="s">
        <v>10</v>
      </c>
      <c r="I161" s="1">
        <v>3</v>
      </c>
      <c r="J161" s="1">
        <v>3</v>
      </c>
      <c r="K161" s="1">
        <f>Tableau1434567[[#This Row],[Fréquence]]*Tableau1434567[[#This Row],[Gravité]]</f>
        <v>9</v>
      </c>
      <c r="L161" s="4" t="s">
        <v>879</v>
      </c>
      <c r="M161" s="1">
        <v>0.75</v>
      </c>
      <c r="N161" s="5">
        <f>Tableau1434567[[#This Row],[Priorité initiale]]*Tableau1434567[[#This Row],[Moyen de Maitrise]]</f>
        <v>6.75</v>
      </c>
      <c r="O161" s="17" t="str">
        <f>IF(AND(N161&gt;=0,N161&lt;4),"P3",IF(AND(N161&gt;=4,N161&lt;=8),"P2",IF(N161&gt;8,"P1","")))</f>
        <v>P2</v>
      </c>
      <c r="P161" s="4" t="s">
        <v>530</v>
      </c>
    </row>
    <row r="162" spans="1:16" ht="60" x14ac:dyDescent="0.25">
      <c r="A162" s="4" t="s">
        <v>829</v>
      </c>
      <c r="B162" s="4" t="s">
        <v>830</v>
      </c>
      <c r="C162" s="4" t="s">
        <v>831</v>
      </c>
      <c r="D162" s="7">
        <v>3</v>
      </c>
      <c r="E162" s="4" t="s">
        <v>232</v>
      </c>
      <c r="F162" s="4" t="s">
        <v>241</v>
      </c>
      <c r="G162" s="4" t="s">
        <v>237</v>
      </c>
      <c r="H162" s="4" t="s">
        <v>10</v>
      </c>
      <c r="I162" s="1">
        <v>2</v>
      </c>
      <c r="J162" s="1">
        <v>3</v>
      </c>
      <c r="K162" s="1">
        <f>Tableau1434567[[#This Row],[Fréquence]]*Tableau1434567[[#This Row],[Gravité]]</f>
        <v>6</v>
      </c>
      <c r="L162" s="4" t="s">
        <v>880</v>
      </c>
      <c r="M162" s="1">
        <v>0.75</v>
      </c>
      <c r="N162" s="5">
        <f>Tableau1434567[[#This Row],[Priorité initiale]]*Tableau1434567[[#This Row],[Moyen de Maitrise]]</f>
        <v>4.5</v>
      </c>
      <c r="O162" s="17" t="str">
        <f>IF(AND(N162&gt;=0,N162&lt;4),"P3",IF(AND(N162&gt;=4,N162&lt;=8),"P2",IF(N162&gt;8,"P1","")))</f>
        <v>P2</v>
      </c>
      <c r="P162" s="4" t="s">
        <v>881</v>
      </c>
    </row>
    <row r="163" spans="1:16" ht="60" x14ac:dyDescent="0.25">
      <c r="A163" s="4" t="s">
        <v>829</v>
      </c>
      <c r="B163" s="4" t="s">
        <v>830</v>
      </c>
      <c r="C163" s="4" t="s">
        <v>831</v>
      </c>
      <c r="D163" s="7">
        <v>3</v>
      </c>
      <c r="E163" s="4" t="s">
        <v>232</v>
      </c>
      <c r="F163" s="4" t="s">
        <v>236</v>
      </c>
      <c r="G163" s="4" t="s">
        <v>235</v>
      </c>
      <c r="H163" s="4" t="s">
        <v>10</v>
      </c>
      <c r="I163" s="1">
        <v>1</v>
      </c>
      <c r="J163" s="1">
        <v>4</v>
      </c>
      <c r="K163" s="1">
        <f>Tableau1434567[[#This Row],[Fréquence]]*Tableau1434567[[#This Row],[Gravité]]</f>
        <v>4</v>
      </c>
      <c r="L163" s="4" t="s">
        <v>234</v>
      </c>
      <c r="M163" s="1">
        <v>1</v>
      </c>
      <c r="N163" s="5">
        <f>Tableau1434567[[#This Row],[Priorité initiale]]*Tableau1434567[[#This Row],[Moyen de Maitrise]]</f>
        <v>4</v>
      </c>
      <c r="O163" s="17" t="str">
        <f>IF(AND(N163&gt;=0,N163&lt;4),"P3",IF(AND(N163&gt;=4,N163&lt;=8),"P2",IF(N163&gt;8,"P1","")))</f>
        <v>P2</v>
      </c>
      <c r="P163" s="4" t="s">
        <v>233</v>
      </c>
    </row>
    <row r="164" spans="1:16" ht="135" x14ac:dyDescent="0.25">
      <c r="A164" s="4" t="s">
        <v>829</v>
      </c>
      <c r="B164" s="4" t="s">
        <v>830</v>
      </c>
      <c r="C164" s="4" t="s">
        <v>831</v>
      </c>
      <c r="D164" s="7">
        <v>4</v>
      </c>
      <c r="E164" s="4" t="s">
        <v>217</v>
      </c>
      <c r="F164" s="4" t="s">
        <v>220</v>
      </c>
      <c r="G164" s="4" t="s">
        <v>216</v>
      </c>
      <c r="H164" s="4" t="s">
        <v>10</v>
      </c>
      <c r="I164" s="1">
        <v>2</v>
      </c>
      <c r="J164" s="1">
        <v>4</v>
      </c>
      <c r="K164" s="1">
        <f>Tableau1434567[[#This Row],[Fréquence]]*Tableau1434567[[#This Row],[Gravité]]</f>
        <v>8</v>
      </c>
      <c r="L164" s="4" t="s">
        <v>883</v>
      </c>
      <c r="M164" s="1">
        <v>0.75</v>
      </c>
      <c r="N164" s="5">
        <f>Tableau1434567[[#This Row],[Priorité initiale]]*Tableau1434567[[#This Row],[Moyen de Maitrise]]</f>
        <v>6</v>
      </c>
      <c r="O164" s="17" t="str">
        <f>IF(AND(N164&gt;=0,N164&lt;4),"P3",IF(AND(N164&gt;=4,N164&lt;=8),"P2",IF(N164&gt;8,"P1","")))</f>
        <v>P2</v>
      </c>
      <c r="P164" s="4" t="s">
        <v>884</v>
      </c>
    </row>
    <row r="165" spans="1:16" ht="105" x14ac:dyDescent="0.25">
      <c r="A165" s="4" t="s">
        <v>829</v>
      </c>
      <c r="B165" s="4" t="s">
        <v>830</v>
      </c>
      <c r="C165" s="4" t="s">
        <v>831</v>
      </c>
      <c r="D165" s="7">
        <v>4</v>
      </c>
      <c r="E165" s="4" t="s">
        <v>217</v>
      </c>
      <c r="F165" s="4" t="s">
        <v>221</v>
      </c>
      <c r="G165" s="4" t="s">
        <v>222</v>
      </c>
      <c r="H165" s="4" t="s">
        <v>10</v>
      </c>
      <c r="I165" s="1">
        <v>2</v>
      </c>
      <c r="J165" s="1">
        <v>3</v>
      </c>
      <c r="K165" s="1">
        <f>Tableau1434567[[#This Row],[Fréquence]]*Tableau1434567[[#This Row],[Gravité]]</f>
        <v>6</v>
      </c>
      <c r="L165" s="4" t="s">
        <v>885</v>
      </c>
      <c r="M165" s="1">
        <v>0.75</v>
      </c>
      <c r="N165" s="5">
        <f>Tableau1434567[[#This Row],[Priorité initiale]]*Tableau1434567[[#This Row],[Moyen de Maitrise]]</f>
        <v>4.5</v>
      </c>
      <c r="O165" s="17" t="str">
        <f>IF(AND(N165&gt;=0,N165&lt;4),"P3",IF(AND(N165&gt;=4,N165&lt;=8),"P2",IF(N165&gt;8,"P1","")))</f>
        <v>P2</v>
      </c>
      <c r="P165" s="4" t="s">
        <v>886</v>
      </c>
    </row>
    <row r="166" spans="1:16" ht="75" x14ac:dyDescent="0.25">
      <c r="A166" s="4" t="s">
        <v>832</v>
      </c>
      <c r="B166" s="4" t="s">
        <v>889</v>
      </c>
      <c r="C166" s="4" t="s">
        <v>890</v>
      </c>
      <c r="D166" s="7">
        <v>6</v>
      </c>
      <c r="E166" s="4" t="s">
        <v>205</v>
      </c>
      <c r="F166" s="4" t="s">
        <v>206</v>
      </c>
      <c r="G166" s="4" t="s">
        <v>203</v>
      </c>
      <c r="H166" s="4" t="s">
        <v>891</v>
      </c>
      <c r="I166" s="1">
        <v>2</v>
      </c>
      <c r="J166" s="1">
        <v>4</v>
      </c>
      <c r="K166" s="1">
        <f>Tableau1434567[[#This Row],[Fréquence]]*Tableau1434567[[#This Row],[Gravité]]</f>
        <v>8</v>
      </c>
      <c r="L166" s="4" t="s">
        <v>892</v>
      </c>
      <c r="M166" s="1">
        <v>0.75</v>
      </c>
      <c r="N166" s="5">
        <f>Tableau1434567[[#This Row],[Priorité initiale]]*Tableau1434567[[#This Row],[Moyen de Maitrise]]</f>
        <v>6</v>
      </c>
      <c r="O166" s="17" t="str">
        <f>IF(AND(N166&gt;=0,N166&lt;4),"P3",IF(AND(N166&gt;=4,N166&lt;=8),"P2",IF(N166&gt;8,"P1","")))</f>
        <v>P2</v>
      </c>
      <c r="P166" s="4" t="s">
        <v>893</v>
      </c>
    </row>
    <row r="167" spans="1:16" ht="75" x14ac:dyDescent="0.25">
      <c r="A167" s="4" t="s">
        <v>832</v>
      </c>
      <c r="B167" s="4" t="s">
        <v>833</v>
      </c>
      <c r="C167" s="4" t="s">
        <v>834</v>
      </c>
      <c r="D167" s="7">
        <v>6</v>
      </c>
      <c r="E167" s="4" t="s">
        <v>205</v>
      </c>
      <c r="F167" s="4" t="s">
        <v>206</v>
      </c>
      <c r="G167" s="4" t="s">
        <v>203</v>
      </c>
      <c r="H167" s="4" t="s">
        <v>838</v>
      </c>
      <c r="I167" s="1">
        <v>2</v>
      </c>
      <c r="J167" s="1">
        <v>4</v>
      </c>
      <c r="K167" s="1">
        <f>Tableau1434567[[#This Row],[Fréquence]]*Tableau1434567[[#This Row],[Gravité]]</f>
        <v>8</v>
      </c>
      <c r="L167" s="4" t="s">
        <v>894</v>
      </c>
      <c r="M167" s="1">
        <v>0.75</v>
      </c>
      <c r="N167" s="5">
        <f>Tableau1434567[[#This Row],[Priorité initiale]]*Tableau1434567[[#This Row],[Moyen de Maitrise]]</f>
        <v>6</v>
      </c>
      <c r="O167" s="17" t="str">
        <f>IF(AND(N167&gt;=0,N167&lt;4),"P3",IF(AND(N167&gt;=4,N167&lt;=8),"P2",IF(N167&gt;8,"P1","")))</f>
        <v>P2</v>
      </c>
      <c r="P167" s="4" t="s">
        <v>893</v>
      </c>
    </row>
    <row r="168" spans="1:16" ht="60" x14ac:dyDescent="0.25">
      <c r="A168" s="4" t="s">
        <v>832</v>
      </c>
      <c r="B168" s="4" t="s">
        <v>833</v>
      </c>
      <c r="C168" s="4" t="s">
        <v>834</v>
      </c>
      <c r="D168" s="7">
        <v>6</v>
      </c>
      <c r="E168" s="4" t="s">
        <v>205</v>
      </c>
      <c r="F168" s="4" t="s">
        <v>204</v>
      </c>
      <c r="G168" s="4" t="s">
        <v>203</v>
      </c>
      <c r="H168" s="4" t="s">
        <v>838</v>
      </c>
      <c r="I168" s="1">
        <v>1</v>
      </c>
      <c r="J168" s="1">
        <v>4</v>
      </c>
      <c r="K168" s="1">
        <f>Tableau1434567[[#This Row],[Fréquence]]*Tableau1434567[[#This Row],[Gravité]]</f>
        <v>4</v>
      </c>
      <c r="L168" s="4" t="s">
        <v>853</v>
      </c>
      <c r="M168" s="1">
        <v>1</v>
      </c>
      <c r="N168" s="5">
        <f>Tableau1434567[[#This Row],[Priorité initiale]]*Tableau1434567[[#This Row],[Moyen de Maitrise]]</f>
        <v>4</v>
      </c>
      <c r="O168" s="17" t="str">
        <f>IF(AND(N168&gt;=0,N168&lt;4),"P3",IF(AND(N168&gt;=4,N168&lt;=8),"P2",IF(N168&gt;8,"P1","")))</f>
        <v>P2</v>
      </c>
      <c r="P168" s="4" t="s">
        <v>853</v>
      </c>
    </row>
    <row r="169" spans="1:16" ht="120" x14ac:dyDescent="0.25">
      <c r="A169" s="4" t="s">
        <v>854</v>
      </c>
      <c r="B169" s="4" t="s">
        <v>855</v>
      </c>
      <c r="C169" s="4" t="s">
        <v>856</v>
      </c>
      <c r="D169" s="7">
        <v>6</v>
      </c>
      <c r="E169" s="4" t="s">
        <v>205</v>
      </c>
      <c r="F169" s="4" t="s">
        <v>204</v>
      </c>
      <c r="G169" s="4" t="s">
        <v>203</v>
      </c>
      <c r="H169" s="4" t="s">
        <v>857</v>
      </c>
      <c r="I169" s="1">
        <v>1</v>
      </c>
      <c r="J169" s="1">
        <v>4</v>
      </c>
      <c r="K169" s="1">
        <f>Tableau1434567[[#This Row],[Fréquence]]*Tableau1434567[[#This Row],[Gravité]]</f>
        <v>4</v>
      </c>
      <c r="L169" s="4" t="s">
        <v>895</v>
      </c>
      <c r="M169" s="1">
        <v>1</v>
      </c>
      <c r="N169" s="5">
        <f>Tableau1434567[[#This Row],[Priorité initiale]]*Tableau1434567[[#This Row],[Moyen de Maitrise]]</f>
        <v>4</v>
      </c>
      <c r="O169" s="17" t="str">
        <f>IF(AND(N169&gt;=0,N169&lt;4),"P3",IF(AND(N169&gt;=4,N169&lt;=8),"P2",IF(N169&gt;8,"P1","")))</f>
        <v>P2</v>
      </c>
      <c r="P169" s="4" t="s">
        <v>896</v>
      </c>
    </row>
    <row r="170" spans="1:16" ht="120" x14ac:dyDescent="0.25">
      <c r="A170" s="4" t="s">
        <v>854</v>
      </c>
      <c r="B170" s="4" t="s">
        <v>855</v>
      </c>
      <c r="C170" s="4" t="s">
        <v>858</v>
      </c>
      <c r="D170" s="7">
        <v>6</v>
      </c>
      <c r="E170" s="4" t="s">
        <v>205</v>
      </c>
      <c r="F170" s="4" t="s">
        <v>204</v>
      </c>
      <c r="G170" s="4" t="s">
        <v>203</v>
      </c>
      <c r="H170" s="4" t="s">
        <v>859</v>
      </c>
      <c r="I170" s="1">
        <v>1</v>
      </c>
      <c r="J170" s="1">
        <v>4</v>
      </c>
      <c r="K170" s="1">
        <f>Tableau1434567[[#This Row],[Fréquence]]*Tableau1434567[[#This Row],[Gravité]]</f>
        <v>4</v>
      </c>
      <c r="L170" s="4" t="s">
        <v>897</v>
      </c>
      <c r="M170" s="1">
        <v>1</v>
      </c>
      <c r="N170" s="5">
        <f>Tableau1434567[[#This Row],[Priorité initiale]]*Tableau1434567[[#This Row],[Moyen de Maitrise]]</f>
        <v>4</v>
      </c>
      <c r="O170" s="17" t="str">
        <f>IF(AND(N170&gt;=0,N170&lt;4),"P3",IF(AND(N170&gt;=4,N170&lt;=8),"P2",IF(N170&gt;8,"P1","")))</f>
        <v>P2</v>
      </c>
      <c r="P170" s="4" t="s">
        <v>896</v>
      </c>
    </row>
    <row r="171" spans="1:16" ht="120" x14ac:dyDescent="0.25">
      <c r="A171" s="4" t="s">
        <v>854</v>
      </c>
      <c r="B171" s="4" t="s">
        <v>855</v>
      </c>
      <c r="C171" s="4" t="s">
        <v>862</v>
      </c>
      <c r="D171" s="7">
        <v>6</v>
      </c>
      <c r="E171" s="4" t="s">
        <v>205</v>
      </c>
      <c r="F171" s="4" t="s">
        <v>204</v>
      </c>
      <c r="G171" s="4" t="s">
        <v>203</v>
      </c>
      <c r="H171" s="4" t="s">
        <v>859</v>
      </c>
      <c r="I171" s="1">
        <v>1</v>
      </c>
      <c r="J171" s="1">
        <v>4</v>
      </c>
      <c r="K171" s="1">
        <f>Tableau1434567[[#This Row],[Fréquence]]*Tableau1434567[[#This Row],[Gravité]]</f>
        <v>4</v>
      </c>
      <c r="L171" s="4" t="s">
        <v>898</v>
      </c>
      <c r="M171" s="1">
        <v>1</v>
      </c>
      <c r="N171" s="5">
        <f>Tableau1434567[[#This Row],[Priorité initiale]]*Tableau1434567[[#This Row],[Moyen de Maitrise]]</f>
        <v>4</v>
      </c>
      <c r="O171" s="17" t="str">
        <f>IF(AND(N171&gt;=0,N171&lt;4),"P3",IF(AND(N171&gt;=4,N171&lt;=8),"P2",IF(N171&gt;8,"P1","")))</f>
        <v>P2</v>
      </c>
      <c r="P171" s="4" t="s">
        <v>896</v>
      </c>
    </row>
    <row r="172" spans="1:16" ht="120" x14ac:dyDescent="0.25">
      <c r="A172" s="4" t="s">
        <v>854</v>
      </c>
      <c r="B172" s="4" t="s">
        <v>855</v>
      </c>
      <c r="C172" s="4" t="s">
        <v>863</v>
      </c>
      <c r="D172" s="7">
        <v>6</v>
      </c>
      <c r="E172" s="4" t="s">
        <v>205</v>
      </c>
      <c r="F172" s="4" t="s">
        <v>204</v>
      </c>
      <c r="G172" s="4" t="s">
        <v>203</v>
      </c>
      <c r="H172" s="4" t="s">
        <v>857</v>
      </c>
      <c r="I172" s="1">
        <v>1</v>
      </c>
      <c r="J172" s="1">
        <v>4</v>
      </c>
      <c r="K172" s="1">
        <f>Tableau1434567[[#This Row],[Fréquence]]*Tableau1434567[[#This Row],[Gravité]]</f>
        <v>4</v>
      </c>
      <c r="L172" s="4" t="s">
        <v>898</v>
      </c>
      <c r="M172" s="1">
        <v>1</v>
      </c>
      <c r="N172" s="5">
        <f>Tableau1434567[[#This Row],[Priorité initiale]]*Tableau1434567[[#This Row],[Moyen de Maitrise]]</f>
        <v>4</v>
      </c>
      <c r="O172" s="17" t="str">
        <f>IF(AND(N172&gt;=0,N172&lt;4),"P3",IF(AND(N172&gt;=4,N172&lt;=8),"P2",IF(N172&gt;8,"P1","")))</f>
        <v>P2</v>
      </c>
      <c r="P172" s="4" t="s">
        <v>896</v>
      </c>
    </row>
    <row r="173" spans="1:16" ht="120" x14ac:dyDescent="0.25">
      <c r="A173" s="4" t="s">
        <v>854</v>
      </c>
      <c r="B173" s="4" t="s">
        <v>855</v>
      </c>
      <c r="C173" s="4" t="s">
        <v>864</v>
      </c>
      <c r="D173" s="7">
        <v>6</v>
      </c>
      <c r="E173" s="4" t="s">
        <v>205</v>
      </c>
      <c r="F173" s="4" t="s">
        <v>204</v>
      </c>
      <c r="G173" s="4" t="s">
        <v>203</v>
      </c>
      <c r="H173" s="4" t="s">
        <v>857</v>
      </c>
      <c r="I173" s="1">
        <v>1</v>
      </c>
      <c r="J173" s="1">
        <v>4</v>
      </c>
      <c r="K173" s="1">
        <f>Tableau1434567[[#This Row],[Fréquence]]*Tableau1434567[[#This Row],[Gravité]]</f>
        <v>4</v>
      </c>
      <c r="L173" s="4" t="s">
        <v>898</v>
      </c>
      <c r="M173" s="1">
        <v>1</v>
      </c>
      <c r="N173" s="5">
        <f>Tableau1434567[[#This Row],[Priorité initiale]]*Tableau1434567[[#This Row],[Moyen de Maitrise]]</f>
        <v>4</v>
      </c>
      <c r="O173" s="17" t="str">
        <f>IF(AND(N173&gt;=0,N173&lt;4),"P3",IF(AND(N173&gt;=4,N173&lt;=8),"P2",IF(N173&gt;8,"P1","")))</f>
        <v>P2</v>
      </c>
      <c r="P173" s="4" t="s">
        <v>896</v>
      </c>
    </row>
    <row r="174" spans="1:16" ht="120" x14ac:dyDescent="0.25">
      <c r="A174" s="4" t="s">
        <v>854</v>
      </c>
      <c r="B174" s="4" t="s">
        <v>855</v>
      </c>
      <c r="C174" s="4" t="s">
        <v>865</v>
      </c>
      <c r="D174" s="7">
        <v>6</v>
      </c>
      <c r="E174" s="4" t="s">
        <v>205</v>
      </c>
      <c r="F174" s="4" t="s">
        <v>204</v>
      </c>
      <c r="G174" s="4" t="s">
        <v>203</v>
      </c>
      <c r="H174" s="4" t="s">
        <v>857</v>
      </c>
      <c r="I174" s="1">
        <v>1</v>
      </c>
      <c r="J174" s="1">
        <v>4</v>
      </c>
      <c r="K174" s="1">
        <f>Tableau1434567[[#This Row],[Fréquence]]*Tableau1434567[[#This Row],[Gravité]]</f>
        <v>4</v>
      </c>
      <c r="L174" s="4" t="s">
        <v>898</v>
      </c>
      <c r="M174" s="1">
        <v>1</v>
      </c>
      <c r="N174" s="5">
        <f>Tableau1434567[[#This Row],[Priorité initiale]]*Tableau1434567[[#This Row],[Moyen de Maitrise]]</f>
        <v>4</v>
      </c>
      <c r="O174" s="17" t="str">
        <f>IF(AND(N174&gt;=0,N174&lt;4),"P3",IF(AND(N174&gt;=4,N174&lt;=8),"P2",IF(N174&gt;8,"P1","")))</f>
        <v>P2</v>
      </c>
      <c r="P174" s="4" t="s">
        <v>896</v>
      </c>
    </row>
    <row r="175" spans="1:16" ht="120" x14ac:dyDescent="0.25">
      <c r="A175" s="4" t="s">
        <v>854</v>
      </c>
      <c r="B175" s="4" t="s">
        <v>855</v>
      </c>
      <c r="C175" s="4" t="s">
        <v>866</v>
      </c>
      <c r="D175" s="7">
        <v>6</v>
      </c>
      <c r="E175" s="4" t="s">
        <v>205</v>
      </c>
      <c r="F175" s="4" t="s">
        <v>204</v>
      </c>
      <c r="G175" s="4" t="s">
        <v>203</v>
      </c>
      <c r="H175" s="4" t="s">
        <v>859</v>
      </c>
      <c r="I175" s="1">
        <v>1</v>
      </c>
      <c r="J175" s="1">
        <v>4</v>
      </c>
      <c r="K175" s="1">
        <f>Tableau1434567[[#This Row],[Fréquence]]*Tableau1434567[[#This Row],[Gravité]]</f>
        <v>4</v>
      </c>
      <c r="L175" s="4" t="s">
        <v>898</v>
      </c>
      <c r="M175" s="1">
        <v>1</v>
      </c>
      <c r="N175" s="5">
        <f>Tableau1434567[[#This Row],[Priorité initiale]]*Tableau1434567[[#This Row],[Moyen de Maitrise]]</f>
        <v>4</v>
      </c>
      <c r="O175" s="17" t="str">
        <f>IF(AND(N175&gt;=0,N175&lt;4),"P3",IF(AND(N175&gt;=4,N175&lt;=8),"P2",IF(N175&gt;8,"P1","")))</f>
        <v>P2</v>
      </c>
      <c r="P175" s="4" t="s">
        <v>896</v>
      </c>
    </row>
    <row r="176" spans="1:16" ht="120" x14ac:dyDescent="0.25">
      <c r="A176" s="4" t="s">
        <v>854</v>
      </c>
      <c r="B176" s="4" t="s">
        <v>855</v>
      </c>
      <c r="C176" s="4" t="s">
        <v>867</v>
      </c>
      <c r="D176" s="7">
        <v>6</v>
      </c>
      <c r="E176" s="4" t="s">
        <v>205</v>
      </c>
      <c r="F176" s="4" t="s">
        <v>204</v>
      </c>
      <c r="G176" s="4" t="s">
        <v>203</v>
      </c>
      <c r="H176" s="4" t="s">
        <v>859</v>
      </c>
      <c r="I176" s="1">
        <v>1</v>
      </c>
      <c r="J176" s="1">
        <v>4</v>
      </c>
      <c r="K176" s="1">
        <f>Tableau1434567[[#This Row],[Fréquence]]*Tableau1434567[[#This Row],[Gravité]]</f>
        <v>4</v>
      </c>
      <c r="L176" s="4" t="s">
        <v>898</v>
      </c>
      <c r="M176" s="1">
        <v>1</v>
      </c>
      <c r="N176" s="5">
        <f>Tableau1434567[[#This Row],[Priorité initiale]]*Tableau1434567[[#This Row],[Moyen de Maitrise]]</f>
        <v>4</v>
      </c>
      <c r="O176" s="17" t="str">
        <f>IF(AND(N176&gt;=0,N176&lt;4),"P3",IF(AND(N176&gt;=4,N176&lt;=8),"P2",IF(N176&gt;8,"P1","")))</f>
        <v>P2</v>
      </c>
      <c r="P176" s="4" t="s">
        <v>896</v>
      </c>
    </row>
    <row r="177" spans="1:16" ht="120" x14ac:dyDescent="0.25">
      <c r="A177" s="4" t="s">
        <v>854</v>
      </c>
      <c r="B177" s="4" t="s">
        <v>855</v>
      </c>
      <c r="C177" s="4" t="s">
        <v>870</v>
      </c>
      <c r="D177" s="7">
        <v>6</v>
      </c>
      <c r="E177" s="4" t="s">
        <v>205</v>
      </c>
      <c r="F177" s="4" t="s">
        <v>204</v>
      </c>
      <c r="G177" s="4" t="s">
        <v>203</v>
      </c>
      <c r="H177" s="4" t="s">
        <v>857</v>
      </c>
      <c r="I177" s="1">
        <v>1</v>
      </c>
      <c r="J177" s="1">
        <v>4</v>
      </c>
      <c r="K177" s="1">
        <f>Tableau1434567[[#This Row],[Fréquence]]*Tableau1434567[[#This Row],[Gravité]]</f>
        <v>4</v>
      </c>
      <c r="L177" s="4" t="s">
        <v>898</v>
      </c>
      <c r="M177" s="1">
        <v>1</v>
      </c>
      <c r="N177" s="5">
        <f>Tableau1434567[[#This Row],[Priorité initiale]]*Tableau1434567[[#This Row],[Moyen de Maitrise]]</f>
        <v>4</v>
      </c>
      <c r="O177" s="17" t="str">
        <f>IF(AND(N177&gt;=0,N177&lt;4),"P3",IF(AND(N177&gt;=4,N177&lt;=8),"P2",IF(N177&gt;8,"P1","")))</f>
        <v>P2</v>
      </c>
      <c r="P177" s="4" t="s">
        <v>896</v>
      </c>
    </row>
    <row r="178" spans="1:16" ht="120" x14ac:dyDescent="0.25">
      <c r="A178" s="4" t="s">
        <v>854</v>
      </c>
      <c r="B178" s="4" t="s">
        <v>855</v>
      </c>
      <c r="C178" s="4" t="s">
        <v>871</v>
      </c>
      <c r="D178" s="7">
        <v>6</v>
      </c>
      <c r="E178" s="4" t="s">
        <v>205</v>
      </c>
      <c r="F178" s="4" t="s">
        <v>204</v>
      </c>
      <c r="G178" s="4" t="s">
        <v>203</v>
      </c>
      <c r="H178" s="4" t="s">
        <v>857</v>
      </c>
      <c r="I178" s="1">
        <v>1</v>
      </c>
      <c r="J178" s="1">
        <v>4</v>
      </c>
      <c r="K178" s="1">
        <f>Tableau1434567[[#This Row],[Fréquence]]*Tableau1434567[[#This Row],[Gravité]]</f>
        <v>4</v>
      </c>
      <c r="L178" s="4" t="s">
        <v>898</v>
      </c>
      <c r="M178" s="1">
        <v>1</v>
      </c>
      <c r="N178" s="5">
        <f>Tableau1434567[[#This Row],[Priorité initiale]]*Tableau1434567[[#This Row],[Moyen de Maitrise]]</f>
        <v>4</v>
      </c>
      <c r="O178" s="17" t="str">
        <f>IF(AND(N178&gt;=0,N178&lt;4),"P3",IF(AND(N178&gt;=4,N178&lt;=8),"P2",IF(N178&gt;8,"P1","")))</f>
        <v>P2</v>
      </c>
      <c r="P178" s="4" t="s">
        <v>896</v>
      </c>
    </row>
    <row r="179" spans="1:16" ht="120" x14ac:dyDescent="0.25">
      <c r="A179" s="4" t="s">
        <v>854</v>
      </c>
      <c r="B179" s="4" t="s">
        <v>855</v>
      </c>
      <c r="C179" s="4" t="s">
        <v>872</v>
      </c>
      <c r="D179" s="7">
        <v>6</v>
      </c>
      <c r="E179" s="4" t="s">
        <v>205</v>
      </c>
      <c r="F179" s="4" t="s">
        <v>204</v>
      </c>
      <c r="G179" s="4" t="s">
        <v>203</v>
      </c>
      <c r="H179" s="4" t="s">
        <v>857</v>
      </c>
      <c r="I179" s="1">
        <v>1</v>
      </c>
      <c r="J179" s="1">
        <v>4</v>
      </c>
      <c r="K179" s="1">
        <f>Tableau1434567[[#This Row],[Fréquence]]*Tableau1434567[[#This Row],[Gravité]]</f>
        <v>4</v>
      </c>
      <c r="L179" s="4" t="s">
        <v>898</v>
      </c>
      <c r="M179" s="1">
        <v>1</v>
      </c>
      <c r="N179" s="5">
        <f>Tableau1434567[[#This Row],[Priorité initiale]]*Tableau1434567[[#This Row],[Moyen de Maitrise]]</f>
        <v>4</v>
      </c>
      <c r="O179" s="17" t="str">
        <f>IF(AND(N179&gt;=0,N179&lt;4),"P3",IF(AND(N179&gt;=4,N179&lt;=8),"P2",IF(N179&gt;8,"P1","")))</f>
        <v>P2</v>
      </c>
      <c r="P179" s="4" t="s">
        <v>896</v>
      </c>
    </row>
    <row r="180" spans="1:16" ht="135" x14ac:dyDescent="0.25">
      <c r="A180" s="4" t="s">
        <v>829</v>
      </c>
      <c r="B180" s="4" t="s">
        <v>830</v>
      </c>
      <c r="C180" s="4" t="s">
        <v>831</v>
      </c>
      <c r="D180" s="7">
        <v>6</v>
      </c>
      <c r="E180" s="4" t="s">
        <v>205</v>
      </c>
      <c r="F180" s="4" t="s">
        <v>204</v>
      </c>
      <c r="G180" s="4" t="s">
        <v>203</v>
      </c>
      <c r="H180" s="4" t="s">
        <v>10</v>
      </c>
      <c r="I180" s="1">
        <v>1</v>
      </c>
      <c r="J180" s="1">
        <v>4</v>
      </c>
      <c r="K180" s="1">
        <f>Tableau1434567[[#This Row],[Fréquence]]*Tableau1434567[[#This Row],[Gravité]]</f>
        <v>4</v>
      </c>
      <c r="L180" s="4" t="s">
        <v>899</v>
      </c>
      <c r="M180" s="1">
        <v>1</v>
      </c>
      <c r="N180" s="5">
        <f>Tableau1434567[[#This Row],[Priorité initiale]]*Tableau1434567[[#This Row],[Moyen de Maitrise]]</f>
        <v>4</v>
      </c>
      <c r="O180" s="17" t="str">
        <f>IF(AND(N180&gt;=0,N180&lt;4),"P3",IF(AND(N180&gt;=4,N180&lt;=8),"P2",IF(N180&gt;8,"P1","")))</f>
        <v>P2</v>
      </c>
      <c r="P180" s="4" t="s">
        <v>900</v>
      </c>
    </row>
    <row r="181" spans="1:16" ht="75" x14ac:dyDescent="0.25">
      <c r="A181" s="4" t="s">
        <v>829</v>
      </c>
      <c r="B181" s="4" t="s">
        <v>830</v>
      </c>
      <c r="C181" s="4" t="s">
        <v>831</v>
      </c>
      <c r="D181" s="7">
        <v>7</v>
      </c>
      <c r="E181" s="4" t="s">
        <v>193</v>
      </c>
      <c r="F181" s="4" t="s">
        <v>196</v>
      </c>
      <c r="G181" s="4" t="s">
        <v>195</v>
      </c>
      <c r="H181" s="4" t="s">
        <v>10</v>
      </c>
      <c r="I181" s="1">
        <v>2</v>
      </c>
      <c r="J181" s="1">
        <v>3</v>
      </c>
      <c r="K181" s="1">
        <f>Tableau1434567[[#This Row],[Fréquence]]*Tableau1434567[[#This Row],[Gravité]]</f>
        <v>6</v>
      </c>
      <c r="L181" s="4" t="s">
        <v>903</v>
      </c>
      <c r="M181" s="1">
        <v>0.75</v>
      </c>
      <c r="N181" s="5">
        <f>Tableau1434567[[#This Row],[Priorité initiale]]*Tableau1434567[[#This Row],[Moyen de Maitrise]]</f>
        <v>4.5</v>
      </c>
      <c r="O181" s="17" t="str">
        <f>IF(AND(N181&gt;=0,N181&lt;4),"P3",IF(AND(N181&gt;=4,N181&lt;=8),"P2",IF(N181&gt;8,"P1","")))</f>
        <v>P2</v>
      </c>
      <c r="P181" s="4" t="s">
        <v>904</v>
      </c>
    </row>
    <row r="182" spans="1:16" ht="45" x14ac:dyDescent="0.25">
      <c r="A182" s="4" t="s">
        <v>829</v>
      </c>
      <c r="B182" s="4" t="s">
        <v>830</v>
      </c>
      <c r="C182" s="4" t="s">
        <v>831</v>
      </c>
      <c r="D182" s="7">
        <v>7</v>
      </c>
      <c r="E182" s="4" t="s">
        <v>193</v>
      </c>
      <c r="F182" s="4" t="s">
        <v>718</v>
      </c>
      <c r="G182" s="4" t="s">
        <v>905</v>
      </c>
      <c r="H182" s="4" t="s">
        <v>10</v>
      </c>
      <c r="I182" s="1">
        <v>1</v>
      </c>
      <c r="J182" s="1">
        <v>4</v>
      </c>
      <c r="K182" s="1">
        <f>Tableau1434567[[#This Row],[Fréquence]]*Tableau1434567[[#This Row],[Gravité]]</f>
        <v>4</v>
      </c>
      <c r="L182" s="4" t="s">
        <v>26</v>
      </c>
      <c r="M182" s="1">
        <v>1</v>
      </c>
      <c r="N182" s="5">
        <f>Tableau1434567[[#This Row],[Priorité initiale]]*Tableau1434567[[#This Row],[Moyen de Maitrise]]</f>
        <v>4</v>
      </c>
      <c r="O182" s="17" t="str">
        <f>IF(AND(N182&gt;=0,N182&lt;4),"P3",IF(AND(N182&gt;=4,N182&lt;=8),"P2",IF(N182&gt;8,"P1","")))</f>
        <v>P2</v>
      </c>
      <c r="P182" s="4" t="s">
        <v>906</v>
      </c>
    </row>
    <row r="183" spans="1:16" ht="60" x14ac:dyDescent="0.25">
      <c r="A183" s="4" t="s">
        <v>832</v>
      </c>
      <c r="B183" s="4" t="s">
        <v>833</v>
      </c>
      <c r="C183" s="4" t="s">
        <v>834</v>
      </c>
      <c r="D183" s="7">
        <v>8</v>
      </c>
      <c r="E183" s="4" t="s">
        <v>184</v>
      </c>
      <c r="F183" s="4" t="s">
        <v>183</v>
      </c>
      <c r="G183" s="4" t="s">
        <v>182</v>
      </c>
      <c r="H183" s="4" t="s">
        <v>838</v>
      </c>
      <c r="I183" s="1">
        <v>1</v>
      </c>
      <c r="J183" s="1">
        <v>4</v>
      </c>
      <c r="K183" s="1">
        <f>Tableau1434567[[#This Row],[Fréquence]]*Tableau1434567[[#This Row],[Gravité]]</f>
        <v>4</v>
      </c>
      <c r="L183" s="4" t="s">
        <v>853</v>
      </c>
      <c r="M183" s="1">
        <v>1</v>
      </c>
      <c r="N183" s="5">
        <f>Tableau1434567[[#This Row],[Priorité initiale]]*Tableau1434567[[#This Row],[Moyen de Maitrise]]</f>
        <v>4</v>
      </c>
      <c r="O183" s="17" t="str">
        <f>IF(AND(N183&gt;=0,N183&lt;4),"P3",IF(AND(N183&gt;=4,N183&lt;=8),"P2",IF(N183&gt;8,"P1","")))</f>
        <v>P2</v>
      </c>
      <c r="P183" s="4" t="s">
        <v>853</v>
      </c>
    </row>
    <row r="184" spans="1:16" ht="165" x14ac:dyDescent="0.25">
      <c r="A184" s="4" t="s">
        <v>854</v>
      </c>
      <c r="B184" s="4" t="s">
        <v>855</v>
      </c>
      <c r="C184" s="4" t="s">
        <v>856</v>
      </c>
      <c r="D184" s="7">
        <v>8</v>
      </c>
      <c r="E184" s="4" t="s">
        <v>184</v>
      </c>
      <c r="F184" s="4" t="s">
        <v>183</v>
      </c>
      <c r="G184" s="4" t="s">
        <v>182</v>
      </c>
      <c r="H184" s="4" t="s">
        <v>857</v>
      </c>
      <c r="I184" s="1">
        <v>1</v>
      </c>
      <c r="J184" s="1">
        <v>4</v>
      </c>
      <c r="K184" s="1">
        <f>Tableau1434567[[#This Row],[Fréquence]]*Tableau1434567[[#This Row],[Gravité]]</f>
        <v>4</v>
      </c>
      <c r="L184" s="4" t="s">
        <v>910</v>
      </c>
      <c r="M184" s="1">
        <v>1</v>
      </c>
      <c r="N184" s="5">
        <f>Tableau1434567[[#This Row],[Priorité initiale]]*Tableau1434567[[#This Row],[Moyen de Maitrise]]</f>
        <v>4</v>
      </c>
      <c r="O184" s="17" t="str">
        <f>IF(AND(N184&gt;=0,N184&lt;4),"P3",IF(AND(N184&gt;=4,N184&lt;=8),"P2",IF(N184&gt;8,"P1","")))</f>
        <v>P2</v>
      </c>
      <c r="P184" s="4" t="s">
        <v>911</v>
      </c>
    </row>
    <row r="185" spans="1:16" ht="165" x14ac:dyDescent="0.25">
      <c r="A185" s="4" t="s">
        <v>854</v>
      </c>
      <c r="B185" s="4" t="s">
        <v>855</v>
      </c>
      <c r="C185" s="4" t="s">
        <v>858</v>
      </c>
      <c r="D185" s="7">
        <v>8</v>
      </c>
      <c r="E185" s="4" t="s">
        <v>184</v>
      </c>
      <c r="F185" s="4" t="s">
        <v>183</v>
      </c>
      <c r="G185" s="4" t="s">
        <v>182</v>
      </c>
      <c r="H185" s="4" t="s">
        <v>859</v>
      </c>
      <c r="I185" s="1">
        <v>1</v>
      </c>
      <c r="J185" s="1">
        <v>4</v>
      </c>
      <c r="K185" s="1">
        <f>Tableau1434567[[#This Row],[Fréquence]]*Tableau1434567[[#This Row],[Gravité]]</f>
        <v>4</v>
      </c>
      <c r="L185" s="4" t="s">
        <v>910</v>
      </c>
      <c r="M185" s="1">
        <v>1</v>
      </c>
      <c r="N185" s="5">
        <f>Tableau1434567[[#This Row],[Priorité initiale]]*Tableau1434567[[#This Row],[Moyen de Maitrise]]</f>
        <v>4</v>
      </c>
      <c r="O185" s="17" t="str">
        <f>IF(AND(N185&gt;=0,N185&lt;4),"P3",IF(AND(N185&gt;=4,N185&lt;=8),"P2",IF(N185&gt;8,"P1","")))</f>
        <v>P2</v>
      </c>
      <c r="P185" s="4" t="s">
        <v>911</v>
      </c>
    </row>
    <row r="186" spans="1:16" ht="165" x14ac:dyDescent="0.25">
      <c r="A186" s="4" t="s">
        <v>854</v>
      </c>
      <c r="B186" s="4" t="s">
        <v>855</v>
      </c>
      <c r="C186" s="4" t="s">
        <v>862</v>
      </c>
      <c r="D186" s="7">
        <v>8</v>
      </c>
      <c r="E186" s="4" t="s">
        <v>184</v>
      </c>
      <c r="F186" s="4" t="s">
        <v>183</v>
      </c>
      <c r="G186" s="4" t="s">
        <v>182</v>
      </c>
      <c r="H186" s="4" t="s">
        <v>859</v>
      </c>
      <c r="I186" s="1">
        <v>1</v>
      </c>
      <c r="J186" s="1">
        <v>4</v>
      </c>
      <c r="K186" s="1">
        <f>Tableau1434567[[#This Row],[Fréquence]]*Tableau1434567[[#This Row],[Gravité]]</f>
        <v>4</v>
      </c>
      <c r="L186" s="4" t="s">
        <v>748</v>
      </c>
      <c r="M186" s="1">
        <v>1</v>
      </c>
      <c r="N186" s="5">
        <f>Tableau1434567[[#This Row],[Priorité initiale]]*Tableau1434567[[#This Row],[Moyen de Maitrise]]</f>
        <v>4</v>
      </c>
      <c r="O186" s="17" t="str">
        <f>IF(AND(N186&gt;=0,N186&lt;4),"P3",IF(AND(N186&gt;=4,N186&lt;=8),"P2",IF(N186&gt;8,"P1","")))</f>
        <v>P2</v>
      </c>
      <c r="P186" s="4" t="s">
        <v>911</v>
      </c>
    </row>
    <row r="187" spans="1:16" ht="165" x14ac:dyDescent="0.25">
      <c r="A187" s="4" t="s">
        <v>854</v>
      </c>
      <c r="B187" s="4" t="s">
        <v>855</v>
      </c>
      <c r="C187" s="4" t="s">
        <v>863</v>
      </c>
      <c r="D187" s="7">
        <v>8</v>
      </c>
      <c r="E187" s="4" t="s">
        <v>184</v>
      </c>
      <c r="F187" s="4" t="s">
        <v>183</v>
      </c>
      <c r="G187" s="4" t="s">
        <v>182</v>
      </c>
      <c r="H187" s="4" t="s">
        <v>857</v>
      </c>
      <c r="I187" s="1">
        <v>1</v>
      </c>
      <c r="J187" s="1">
        <v>4</v>
      </c>
      <c r="K187" s="1">
        <f>Tableau1434567[[#This Row],[Fréquence]]*Tableau1434567[[#This Row],[Gravité]]</f>
        <v>4</v>
      </c>
      <c r="L187" s="4" t="s">
        <v>910</v>
      </c>
      <c r="M187" s="1">
        <v>1</v>
      </c>
      <c r="N187" s="5">
        <f>Tableau1434567[[#This Row],[Priorité initiale]]*Tableau1434567[[#This Row],[Moyen de Maitrise]]</f>
        <v>4</v>
      </c>
      <c r="O187" s="17" t="str">
        <f>IF(AND(N187&gt;=0,N187&lt;4),"P3",IF(AND(N187&gt;=4,N187&lt;=8),"P2",IF(N187&gt;8,"P1","")))</f>
        <v>P2</v>
      </c>
      <c r="P187" s="4" t="s">
        <v>911</v>
      </c>
    </row>
    <row r="188" spans="1:16" ht="180" x14ac:dyDescent="0.25">
      <c r="A188" s="4" t="s">
        <v>854</v>
      </c>
      <c r="B188" s="4" t="s">
        <v>855</v>
      </c>
      <c r="C188" s="4" t="s">
        <v>864</v>
      </c>
      <c r="D188" s="7">
        <v>8</v>
      </c>
      <c r="E188" s="4" t="s">
        <v>184</v>
      </c>
      <c r="F188" s="4" t="s">
        <v>183</v>
      </c>
      <c r="G188" s="4" t="s">
        <v>182</v>
      </c>
      <c r="H188" s="4" t="s">
        <v>857</v>
      </c>
      <c r="I188" s="1">
        <v>1</v>
      </c>
      <c r="J188" s="1">
        <v>4</v>
      </c>
      <c r="K188" s="1">
        <f>Tableau1434567[[#This Row],[Fréquence]]*Tableau1434567[[#This Row],[Gravité]]</f>
        <v>4</v>
      </c>
      <c r="L188" s="4" t="s">
        <v>912</v>
      </c>
      <c r="M188" s="1">
        <v>1</v>
      </c>
      <c r="N188" s="5">
        <f>Tableau1434567[[#This Row],[Priorité initiale]]*Tableau1434567[[#This Row],[Moyen de Maitrise]]</f>
        <v>4</v>
      </c>
      <c r="O188" s="17" t="str">
        <f>IF(AND(N188&gt;=0,N188&lt;4),"P3",IF(AND(N188&gt;=4,N188&lt;=8),"P2",IF(N188&gt;8,"P1","")))</f>
        <v>P2</v>
      </c>
      <c r="P188" s="4" t="s">
        <v>913</v>
      </c>
    </row>
    <row r="189" spans="1:16" ht="165" x14ac:dyDescent="0.25">
      <c r="A189" s="4" t="s">
        <v>854</v>
      </c>
      <c r="B189" s="4" t="s">
        <v>855</v>
      </c>
      <c r="C189" s="4" t="s">
        <v>865</v>
      </c>
      <c r="D189" s="7">
        <v>8</v>
      </c>
      <c r="E189" s="4" t="s">
        <v>184</v>
      </c>
      <c r="F189" s="4" t="s">
        <v>183</v>
      </c>
      <c r="G189" s="4" t="s">
        <v>182</v>
      </c>
      <c r="H189" s="4" t="s">
        <v>857</v>
      </c>
      <c r="I189" s="1">
        <v>1</v>
      </c>
      <c r="J189" s="1">
        <v>4</v>
      </c>
      <c r="K189" s="1">
        <f>Tableau1434567[[#This Row],[Fréquence]]*Tableau1434567[[#This Row],[Gravité]]</f>
        <v>4</v>
      </c>
      <c r="L189" s="4" t="s">
        <v>910</v>
      </c>
      <c r="M189" s="1">
        <v>1</v>
      </c>
      <c r="N189" s="5">
        <f>Tableau1434567[[#This Row],[Priorité initiale]]*Tableau1434567[[#This Row],[Moyen de Maitrise]]</f>
        <v>4</v>
      </c>
      <c r="O189" s="17" t="str">
        <f>IF(AND(N189&gt;=0,N189&lt;4),"P3",IF(AND(N189&gt;=4,N189&lt;=8),"P2",IF(N189&gt;8,"P1","")))</f>
        <v>P2</v>
      </c>
      <c r="P189" s="4" t="s">
        <v>911</v>
      </c>
    </row>
    <row r="190" spans="1:16" ht="165" x14ac:dyDescent="0.25">
      <c r="A190" s="4" t="s">
        <v>854</v>
      </c>
      <c r="B190" s="4" t="s">
        <v>855</v>
      </c>
      <c r="C190" s="4" t="s">
        <v>866</v>
      </c>
      <c r="D190" s="7">
        <v>8</v>
      </c>
      <c r="E190" s="4" t="s">
        <v>184</v>
      </c>
      <c r="F190" s="4" t="s">
        <v>183</v>
      </c>
      <c r="G190" s="4" t="s">
        <v>182</v>
      </c>
      <c r="H190" s="4" t="s">
        <v>859</v>
      </c>
      <c r="I190" s="1">
        <v>1</v>
      </c>
      <c r="J190" s="1">
        <v>4</v>
      </c>
      <c r="K190" s="1">
        <f>Tableau1434567[[#This Row],[Fréquence]]*Tableau1434567[[#This Row],[Gravité]]</f>
        <v>4</v>
      </c>
      <c r="L190" s="4" t="s">
        <v>910</v>
      </c>
      <c r="M190" s="1">
        <v>1</v>
      </c>
      <c r="N190" s="5">
        <f>Tableau1434567[[#This Row],[Priorité initiale]]*Tableau1434567[[#This Row],[Moyen de Maitrise]]</f>
        <v>4</v>
      </c>
      <c r="O190" s="17" t="str">
        <f>IF(AND(N190&gt;=0,N190&lt;4),"P3",IF(AND(N190&gt;=4,N190&lt;=8),"P2",IF(N190&gt;8,"P1","")))</f>
        <v>P2</v>
      </c>
      <c r="P190" s="4" t="s">
        <v>911</v>
      </c>
    </row>
    <row r="191" spans="1:16" ht="165" x14ac:dyDescent="0.25">
      <c r="A191" s="4" t="s">
        <v>854</v>
      </c>
      <c r="B191" s="4" t="s">
        <v>855</v>
      </c>
      <c r="C191" s="4" t="s">
        <v>867</v>
      </c>
      <c r="D191" s="7">
        <v>8</v>
      </c>
      <c r="E191" s="4" t="s">
        <v>184</v>
      </c>
      <c r="F191" s="4" t="s">
        <v>183</v>
      </c>
      <c r="G191" s="4" t="s">
        <v>182</v>
      </c>
      <c r="H191" s="4" t="s">
        <v>859</v>
      </c>
      <c r="I191" s="1">
        <v>1</v>
      </c>
      <c r="J191" s="1">
        <v>4</v>
      </c>
      <c r="K191" s="1">
        <f>Tableau1434567[[#This Row],[Fréquence]]*Tableau1434567[[#This Row],[Gravité]]</f>
        <v>4</v>
      </c>
      <c r="L191" s="4" t="s">
        <v>910</v>
      </c>
      <c r="M191" s="1">
        <v>1</v>
      </c>
      <c r="N191" s="5">
        <f>Tableau1434567[[#This Row],[Priorité initiale]]*Tableau1434567[[#This Row],[Moyen de Maitrise]]</f>
        <v>4</v>
      </c>
      <c r="O191" s="17" t="str">
        <f>IF(AND(N191&gt;=0,N191&lt;4),"P3",IF(AND(N191&gt;=4,N191&lt;=8),"P2",IF(N191&gt;8,"P1","")))</f>
        <v>P2</v>
      </c>
      <c r="P191" s="4" t="s">
        <v>911</v>
      </c>
    </row>
    <row r="192" spans="1:16" ht="165" x14ac:dyDescent="0.25">
      <c r="A192" s="4" t="s">
        <v>854</v>
      </c>
      <c r="B192" s="4" t="s">
        <v>855</v>
      </c>
      <c r="C192" s="4" t="s">
        <v>870</v>
      </c>
      <c r="D192" s="7">
        <v>8</v>
      </c>
      <c r="E192" s="4" t="s">
        <v>184</v>
      </c>
      <c r="F192" s="4" t="s">
        <v>183</v>
      </c>
      <c r="G192" s="4" t="s">
        <v>182</v>
      </c>
      <c r="H192" s="4" t="s">
        <v>857</v>
      </c>
      <c r="I192" s="1">
        <v>1</v>
      </c>
      <c r="J192" s="1">
        <v>4</v>
      </c>
      <c r="K192" s="1">
        <f>Tableau1434567[[#This Row],[Fréquence]]*Tableau1434567[[#This Row],[Gravité]]</f>
        <v>4</v>
      </c>
      <c r="L192" s="4" t="s">
        <v>910</v>
      </c>
      <c r="M192" s="1">
        <v>1</v>
      </c>
      <c r="N192" s="5">
        <f>Tableau1434567[[#This Row],[Priorité initiale]]*Tableau1434567[[#This Row],[Moyen de Maitrise]]</f>
        <v>4</v>
      </c>
      <c r="O192" s="17" t="str">
        <f>IF(AND(N192&gt;=0,N192&lt;4),"P3",IF(AND(N192&gt;=4,N192&lt;=8),"P2",IF(N192&gt;8,"P1","")))</f>
        <v>P2</v>
      </c>
      <c r="P192" s="4" t="s">
        <v>911</v>
      </c>
    </row>
    <row r="193" spans="1:16" ht="165" x14ac:dyDescent="0.25">
      <c r="A193" s="4" t="s">
        <v>854</v>
      </c>
      <c r="B193" s="4" t="s">
        <v>855</v>
      </c>
      <c r="C193" s="4" t="s">
        <v>871</v>
      </c>
      <c r="D193" s="7">
        <v>8</v>
      </c>
      <c r="E193" s="4" t="s">
        <v>184</v>
      </c>
      <c r="F193" s="4" t="s">
        <v>183</v>
      </c>
      <c r="G193" s="4" t="s">
        <v>182</v>
      </c>
      <c r="H193" s="4" t="s">
        <v>857</v>
      </c>
      <c r="I193" s="1">
        <v>1</v>
      </c>
      <c r="J193" s="1">
        <v>4</v>
      </c>
      <c r="K193" s="1">
        <f>Tableau1434567[[#This Row],[Fréquence]]*Tableau1434567[[#This Row],[Gravité]]</f>
        <v>4</v>
      </c>
      <c r="L193" s="4" t="s">
        <v>910</v>
      </c>
      <c r="M193" s="1">
        <v>1</v>
      </c>
      <c r="N193" s="5">
        <f>Tableau1434567[[#This Row],[Priorité initiale]]*Tableau1434567[[#This Row],[Moyen de Maitrise]]</f>
        <v>4</v>
      </c>
      <c r="O193" s="17" t="str">
        <f>IF(AND(N193&gt;=0,N193&lt;4),"P3",IF(AND(N193&gt;=4,N193&lt;=8),"P2",IF(N193&gt;8,"P1","")))</f>
        <v>P2</v>
      </c>
      <c r="P193" s="4" t="s">
        <v>911</v>
      </c>
    </row>
    <row r="194" spans="1:16" ht="165" x14ac:dyDescent="0.25">
      <c r="A194" s="4" t="s">
        <v>854</v>
      </c>
      <c r="B194" s="4" t="s">
        <v>855</v>
      </c>
      <c r="C194" s="4" t="s">
        <v>872</v>
      </c>
      <c r="D194" s="7">
        <v>8</v>
      </c>
      <c r="E194" s="4" t="s">
        <v>184</v>
      </c>
      <c r="F194" s="4" t="s">
        <v>183</v>
      </c>
      <c r="G194" s="4" t="s">
        <v>182</v>
      </c>
      <c r="H194" s="4" t="s">
        <v>857</v>
      </c>
      <c r="I194" s="1">
        <v>1</v>
      </c>
      <c r="J194" s="1">
        <v>4</v>
      </c>
      <c r="K194" s="1">
        <f>Tableau1434567[[#This Row],[Fréquence]]*Tableau1434567[[#This Row],[Gravité]]</f>
        <v>4</v>
      </c>
      <c r="L194" s="4" t="s">
        <v>910</v>
      </c>
      <c r="M194" s="1">
        <v>1</v>
      </c>
      <c r="N194" s="5">
        <f>Tableau1434567[[#This Row],[Priorité initiale]]*Tableau1434567[[#This Row],[Moyen de Maitrise]]</f>
        <v>4</v>
      </c>
      <c r="O194" s="17" t="str">
        <f>IF(AND(N194&gt;=0,N194&lt;4),"P3",IF(AND(N194&gt;=4,N194&lt;=8),"P2",IF(N194&gt;8,"P1","")))</f>
        <v>P2</v>
      </c>
      <c r="P194" s="4" t="s">
        <v>911</v>
      </c>
    </row>
    <row r="195" spans="1:16" ht="30" x14ac:dyDescent="0.25">
      <c r="A195" s="4" t="s">
        <v>829</v>
      </c>
      <c r="B195" s="4" t="s">
        <v>830</v>
      </c>
      <c r="C195" s="4" t="s">
        <v>831</v>
      </c>
      <c r="D195" s="7">
        <v>11</v>
      </c>
      <c r="E195" s="4" t="s">
        <v>168</v>
      </c>
      <c r="F195" s="4" t="s">
        <v>169</v>
      </c>
      <c r="G195" s="4" t="s">
        <v>170</v>
      </c>
      <c r="H195" s="4" t="s">
        <v>10</v>
      </c>
      <c r="I195" s="1">
        <v>2</v>
      </c>
      <c r="J195" s="1">
        <v>4</v>
      </c>
      <c r="K195" s="1">
        <f>Tableau1434567[[#This Row],[Fréquence]]*Tableau1434567[[#This Row],[Gravité]]</f>
        <v>8</v>
      </c>
      <c r="L195" s="4" t="s">
        <v>921</v>
      </c>
      <c r="M195" s="1">
        <v>0.5</v>
      </c>
      <c r="N195" s="5">
        <f>Tableau1434567[[#This Row],[Priorité initiale]]*Tableau1434567[[#This Row],[Moyen de Maitrise]]</f>
        <v>4</v>
      </c>
      <c r="O195" s="17" t="str">
        <f>IF(AND(N195&gt;=0,N195&lt;4),"P3",IF(AND(N195&gt;=4,N195&lt;=8),"P2",IF(N195&gt;8,"P1","")))</f>
        <v>P2</v>
      </c>
      <c r="P195" s="4" t="s">
        <v>922</v>
      </c>
    </row>
    <row r="196" spans="1:16" ht="60" x14ac:dyDescent="0.25">
      <c r="A196" s="4" t="s">
        <v>832</v>
      </c>
      <c r="B196" s="4" t="s">
        <v>833</v>
      </c>
      <c r="C196" s="4" t="s">
        <v>834</v>
      </c>
      <c r="D196" s="7">
        <v>12</v>
      </c>
      <c r="E196" s="4" t="s">
        <v>165</v>
      </c>
      <c r="F196" s="4" t="s">
        <v>164</v>
      </c>
      <c r="G196" s="4" t="s">
        <v>552</v>
      </c>
      <c r="H196" s="4" t="s">
        <v>838</v>
      </c>
      <c r="I196" s="1">
        <v>2</v>
      </c>
      <c r="J196" s="1">
        <v>2</v>
      </c>
      <c r="K196" s="1">
        <f>Tableau1434567[[#This Row],[Fréquence]]*Tableau1434567[[#This Row],[Gravité]]</f>
        <v>4</v>
      </c>
      <c r="L196" s="4" t="s">
        <v>853</v>
      </c>
      <c r="M196" s="1">
        <v>1</v>
      </c>
      <c r="N196" s="5">
        <f>Tableau1434567[[#This Row],[Priorité initiale]]*Tableau1434567[[#This Row],[Moyen de Maitrise]]</f>
        <v>4</v>
      </c>
      <c r="O196" s="17" t="str">
        <f>IF(AND(N196&gt;=0,N196&lt;4),"P3",IF(AND(N196&gt;=4,N196&lt;=8),"P2",IF(N196&gt;8,"P1","")))</f>
        <v>P2</v>
      </c>
      <c r="P196" s="4" t="s">
        <v>853</v>
      </c>
    </row>
    <row r="197" spans="1:16" ht="75" x14ac:dyDescent="0.25">
      <c r="A197" s="4" t="s">
        <v>854</v>
      </c>
      <c r="B197" s="4" t="s">
        <v>855</v>
      </c>
      <c r="C197" s="4" t="s">
        <v>856</v>
      </c>
      <c r="D197" s="7">
        <v>12</v>
      </c>
      <c r="E197" s="4" t="s">
        <v>165</v>
      </c>
      <c r="F197" s="4" t="s">
        <v>164</v>
      </c>
      <c r="G197" s="4" t="s">
        <v>552</v>
      </c>
      <c r="H197" s="4" t="s">
        <v>857</v>
      </c>
      <c r="I197" s="1">
        <v>2</v>
      </c>
      <c r="J197" s="1">
        <v>2</v>
      </c>
      <c r="K197" s="1">
        <f>Tableau1434567[[#This Row],[Fréquence]]*Tableau1434567[[#This Row],[Gravité]]</f>
        <v>4</v>
      </c>
      <c r="L197" s="4" t="s">
        <v>749</v>
      </c>
      <c r="M197" s="1">
        <v>1</v>
      </c>
      <c r="N197" s="5">
        <f>Tableau1434567[[#This Row],[Priorité initiale]]*Tableau1434567[[#This Row],[Moyen de Maitrise]]</f>
        <v>4</v>
      </c>
      <c r="O197" s="17" t="str">
        <f>IF(AND(N197&gt;=0,N197&lt;4),"P3",IF(AND(N197&gt;=4,N197&lt;=8),"P2",IF(N197&gt;8,"P1","")))</f>
        <v>P2</v>
      </c>
      <c r="P197" s="4" t="s">
        <v>923</v>
      </c>
    </row>
    <row r="198" spans="1:16" ht="75" x14ac:dyDescent="0.25">
      <c r="A198" s="4" t="s">
        <v>854</v>
      </c>
      <c r="B198" s="4" t="s">
        <v>855</v>
      </c>
      <c r="C198" s="4" t="s">
        <v>858</v>
      </c>
      <c r="D198" s="7">
        <v>12</v>
      </c>
      <c r="E198" s="4" t="s">
        <v>165</v>
      </c>
      <c r="F198" s="4" t="s">
        <v>164</v>
      </c>
      <c r="G198" s="4" t="s">
        <v>552</v>
      </c>
      <c r="H198" s="4" t="s">
        <v>859</v>
      </c>
      <c r="I198" s="1">
        <v>2</v>
      </c>
      <c r="J198" s="1">
        <v>2</v>
      </c>
      <c r="K198" s="1">
        <f>Tableau1434567[[#This Row],[Fréquence]]*Tableau1434567[[#This Row],[Gravité]]</f>
        <v>4</v>
      </c>
      <c r="L198" s="4" t="s">
        <v>749</v>
      </c>
      <c r="M198" s="1">
        <v>1</v>
      </c>
      <c r="N198" s="5">
        <f>Tableau1434567[[#This Row],[Priorité initiale]]*Tableau1434567[[#This Row],[Moyen de Maitrise]]</f>
        <v>4</v>
      </c>
      <c r="O198" s="17" t="str">
        <f>IF(AND(N198&gt;=0,N198&lt;4),"P3",IF(AND(N198&gt;=4,N198&lt;=8),"P2",IF(N198&gt;8,"P1","")))</f>
        <v>P2</v>
      </c>
      <c r="P198" s="4" t="s">
        <v>923</v>
      </c>
    </row>
    <row r="199" spans="1:16" ht="75" x14ac:dyDescent="0.25">
      <c r="A199" s="4" t="s">
        <v>854</v>
      </c>
      <c r="B199" s="4" t="s">
        <v>855</v>
      </c>
      <c r="C199" s="4" t="s">
        <v>862</v>
      </c>
      <c r="D199" s="7">
        <v>12</v>
      </c>
      <c r="E199" s="4" t="s">
        <v>165</v>
      </c>
      <c r="F199" s="4" t="s">
        <v>164</v>
      </c>
      <c r="G199" s="4" t="s">
        <v>552</v>
      </c>
      <c r="H199" s="4" t="s">
        <v>859</v>
      </c>
      <c r="I199" s="1">
        <v>2</v>
      </c>
      <c r="J199" s="1">
        <v>2</v>
      </c>
      <c r="K199" s="1">
        <f>Tableau1434567[[#This Row],[Fréquence]]*Tableau1434567[[#This Row],[Gravité]]</f>
        <v>4</v>
      </c>
      <c r="L199" s="4" t="s">
        <v>749</v>
      </c>
      <c r="M199" s="1">
        <v>1</v>
      </c>
      <c r="N199" s="5">
        <f>Tableau1434567[[#This Row],[Priorité initiale]]*Tableau1434567[[#This Row],[Moyen de Maitrise]]</f>
        <v>4</v>
      </c>
      <c r="O199" s="17" t="str">
        <f>IF(AND(N199&gt;=0,N199&lt;4),"P3",IF(AND(N199&gt;=4,N199&lt;=8),"P2",IF(N199&gt;8,"P1","")))</f>
        <v>P2</v>
      </c>
      <c r="P199" s="4" t="s">
        <v>923</v>
      </c>
    </row>
    <row r="200" spans="1:16" ht="75" x14ac:dyDescent="0.25">
      <c r="A200" s="4" t="s">
        <v>854</v>
      </c>
      <c r="B200" s="4" t="s">
        <v>855</v>
      </c>
      <c r="C200" s="4" t="s">
        <v>863</v>
      </c>
      <c r="D200" s="7">
        <v>12</v>
      </c>
      <c r="E200" s="4" t="s">
        <v>165</v>
      </c>
      <c r="F200" s="4" t="s">
        <v>164</v>
      </c>
      <c r="G200" s="4" t="s">
        <v>552</v>
      </c>
      <c r="H200" s="4" t="s">
        <v>857</v>
      </c>
      <c r="I200" s="1">
        <v>2</v>
      </c>
      <c r="J200" s="1">
        <v>2</v>
      </c>
      <c r="K200" s="1">
        <f>Tableau1434567[[#This Row],[Fréquence]]*Tableau1434567[[#This Row],[Gravité]]</f>
        <v>4</v>
      </c>
      <c r="L200" s="4" t="s">
        <v>749</v>
      </c>
      <c r="M200" s="1">
        <v>1</v>
      </c>
      <c r="N200" s="5">
        <f>Tableau1434567[[#This Row],[Priorité initiale]]*Tableau1434567[[#This Row],[Moyen de Maitrise]]</f>
        <v>4</v>
      </c>
      <c r="O200" s="17" t="str">
        <f>IF(AND(N200&gt;=0,N200&lt;4),"P3",IF(AND(N200&gt;=4,N200&lt;=8),"P2",IF(N200&gt;8,"P1","")))</f>
        <v>P2</v>
      </c>
      <c r="P200" s="4" t="s">
        <v>923</v>
      </c>
    </row>
    <row r="201" spans="1:16" ht="75" x14ac:dyDescent="0.25">
      <c r="A201" s="4" t="s">
        <v>854</v>
      </c>
      <c r="B201" s="4" t="s">
        <v>855</v>
      </c>
      <c r="C201" s="4" t="s">
        <v>864</v>
      </c>
      <c r="D201" s="7">
        <v>12</v>
      </c>
      <c r="E201" s="4" t="s">
        <v>165</v>
      </c>
      <c r="F201" s="4" t="s">
        <v>164</v>
      </c>
      <c r="G201" s="4" t="s">
        <v>552</v>
      </c>
      <c r="H201" s="4" t="s">
        <v>857</v>
      </c>
      <c r="I201" s="1">
        <v>2</v>
      </c>
      <c r="J201" s="1">
        <v>2</v>
      </c>
      <c r="K201" s="1">
        <f>Tableau1434567[[#This Row],[Fréquence]]*Tableau1434567[[#This Row],[Gravité]]</f>
        <v>4</v>
      </c>
      <c r="L201" s="4" t="s">
        <v>553</v>
      </c>
      <c r="M201" s="1">
        <v>1</v>
      </c>
      <c r="N201" s="5">
        <f>Tableau1434567[[#This Row],[Priorité initiale]]*Tableau1434567[[#This Row],[Moyen de Maitrise]]</f>
        <v>4</v>
      </c>
      <c r="O201" s="17" t="str">
        <f>IF(AND(N201&gt;=0,N201&lt;4),"P3",IF(AND(N201&gt;=4,N201&lt;=8),"P2",IF(N201&gt;8,"P1","")))</f>
        <v>P2</v>
      </c>
      <c r="P201" s="4" t="s">
        <v>923</v>
      </c>
    </row>
    <row r="202" spans="1:16" ht="75" x14ac:dyDescent="0.25">
      <c r="A202" s="4" t="s">
        <v>854</v>
      </c>
      <c r="B202" s="4" t="s">
        <v>855</v>
      </c>
      <c r="C202" s="4" t="s">
        <v>865</v>
      </c>
      <c r="D202" s="7">
        <v>12</v>
      </c>
      <c r="E202" s="4" t="s">
        <v>165</v>
      </c>
      <c r="F202" s="4" t="s">
        <v>164</v>
      </c>
      <c r="G202" s="4" t="s">
        <v>552</v>
      </c>
      <c r="H202" s="4" t="s">
        <v>857</v>
      </c>
      <c r="I202" s="1">
        <v>2</v>
      </c>
      <c r="J202" s="1">
        <v>2</v>
      </c>
      <c r="K202" s="1">
        <f>Tableau1434567[[#This Row],[Fréquence]]*Tableau1434567[[#This Row],[Gravité]]</f>
        <v>4</v>
      </c>
      <c r="L202" s="4" t="s">
        <v>749</v>
      </c>
      <c r="M202" s="1">
        <v>1</v>
      </c>
      <c r="N202" s="5">
        <f>Tableau1434567[[#This Row],[Priorité initiale]]*Tableau1434567[[#This Row],[Moyen de Maitrise]]</f>
        <v>4</v>
      </c>
      <c r="O202" s="17" t="str">
        <f>IF(AND(N202&gt;=0,N202&lt;4),"P3",IF(AND(N202&gt;=4,N202&lt;=8),"P2",IF(N202&gt;8,"P1","")))</f>
        <v>P2</v>
      </c>
      <c r="P202" s="4" t="s">
        <v>923</v>
      </c>
    </row>
    <row r="203" spans="1:16" ht="75" x14ac:dyDescent="0.25">
      <c r="A203" s="4" t="s">
        <v>854</v>
      </c>
      <c r="B203" s="4" t="s">
        <v>855</v>
      </c>
      <c r="C203" s="4" t="s">
        <v>866</v>
      </c>
      <c r="D203" s="7">
        <v>12</v>
      </c>
      <c r="E203" s="4" t="s">
        <v>165</v>
      </c>
      <c r="F203" s="4" t="s">
        <v>164</v>
      </c>
      <c r="G203" s="4" t="s">
        <v>552</v>
      </c>
      <c r="H203" s="4" t="s">
        <v>859</v>
      </c>
      <c r="I203" s="1">
        <v>2</v>
      </c>
      <c r="J203" s="1">
        <v>2</v>
      </c>
      <c r="K203" s="1">
        <f>Tableau1434567[[#This Row],[Fréquence]]*Tableau1434567[[#This Row],[Gravité]]</f>
        <v>4</v>
      </c>
      <c r="L203" s="4" t="s">
        <v>749</v>
      </c>
      <c r="M203" s="1">
        <v>1</v>
      </c>
      <c r="N203" s="5">
        <f>Tableau1434567[[#This Row],[Priorité initiale]]*Tableau1434567[[#This Row],[Moyen de Maitrise]]</f>
        <v>4</v>
      </c>
      <c r="O203" s="17" t="str">
        <f>IF(AND(N203&gt;=0,N203&lt;4),"P3",IF(AND(N203&gt;=4,N203&lt;=8),"P2",IF(N203&gt;8,"P1","")))</f>
        <v>P2</v>
      </c>
      <c r="P203" s="4" t="s">
        <v>923</v>
      </c>
    </row>
    <row r="204" spans="1:16" ht="75" x14ac:dyDescent="0.25">
      <c r="A204" s="4" t="s">
        <v>854</v>
      </c>
      <c r="B204" s="4" t="s">
        <v>855</v>
      </c>
      <c r="C204" s="4" t="s">
        <v>867</v>
      </c>
      <c r="D204" s="7">
        <v>12</v>
      </c>
      <c r="E204" s="4" t="s">
        <v>165</v>
      </c>
      <c r="F204" s="4" t="s">
        <v>164</v>
      </c>
      <c r="G204" s="4" t="s">
        <v>552</v>
      </c>
      <c r="H204" s="4" t="s">
        <v>859</v>
      </c>
      <c r="I204" s="1">
        <v>2</v>
      </c>
      <c r="J204" s="1">
        <v>2</v>
      </c>
      <c r="K204" s="1">
        <f>Tableau1434567[[#This Row],[Fréquence]]*Tableau1434567[[#This Row],[Gravité]]</f>
        <v>4</v>
      </c>
      <c r="L204" s="4" t="s">
        <v>749</v>
      </c>
      <c r="M204" s="1">
        <v>1</v>
      </c>
      <c r="N204" s="5">
        <f>Tableau1434567[[#This Row],[Priorité initiale]]*Tableau1434567[[#This Row],[Moyen de Maitrise]]</f>
        <v>4</v>
      </c>
      <c r="O204" s="17" t="str">
        <f>IF(AND(N204&gt;=0,N204&lt;4),"P3",IF(AND(N204&gt;=4,N204&lt;=8),"P2",IF(N204&gt;8,"P1","")))</f>
        <v>P2</v>
      </c>
      <c r="P204" s="4" t="s">
        <v>923</v>
      </c>
    </row>
    <row r="205" spans="1:16" ht="75" x14ac:dyDescent="0.25">
      <c r="A205" s="4" t="s">
        <v>854</v>
      </c>
      <c r="B205" s="4" t="s">
        <v>855</v>
      </c>
      <c r="C205" s="4" t="s">
        <v>870</v>
      </c>
      <c r="D205" s="7">
        <v>12</v>
      </c>
      <c r="E205" s="4" t="s">
        <v>165</v>
      </c>
      <c r="F205" s="4" t="s">
        <v>164</v>
      </c>
      <c r="G205" s="4" t="s">
        <v>552</v>
      </c>
      <c r="H205" s="4" t="s">
        <v>857</v>
      </c>
      <c r="I205" s="1">
        <v>2</v>
      </c>
      <c r="J205" s="1">
        <v>2</v>
      </c>
      <c r="K205" s="1">
        <f>Tableau1434567[[#This Row],[Fréquence]]*Tableau1434567[[#This Row],[Gravité]]</f>
        <v>4</v>
      </c>
      <c r="L205" s="4" t="s">
        <v>749</v>
      </c>
      <c r="M205" s="1">
        <v>1</v>
      </c>
      <c r="N205" s="5">
        <f>Tableau1434567[[#This Row],[Priorité initiale]]*Tableau1434567[[#This Row],[Moyen de Maitrise]]</f>
        <v>4</v>
      </c>
      <c r="O205" s="17" t="str">
        <f>IF(AND(N205&gt;=0,N205&lt;4),"P3",IF(AND(N205&gt;=4,N205&lt;=8),"P2",IF(N205&gt;8,"P1","")))</f>
        <v>P2</v>
      </c>
      <c r="P205" s="4" t="s">
        <v>923</v>
      </c>
    </row>
    <row r="206" spans="1:16" ht="75" x14ac:dyDescent="0.25">
      <c r="A206" s="4" t="s">
        <v>854</v>
      </c>
      <c r="B206" s="4" t="s">
        <v>855</v>
      </c>
      <c r="C206" s="4" t="s">
        <v>871</v>
      </c>
      <c r="D206" s="7">
        <v>12</v>
      </c>
      <c r="E206" s="4" t="s">
        <v>165</v>
      </c>
      <c r="F206" s="4" t="s">
        <v>164</v>
      </c>
      <c r="G206" s="4" t="s">
        <v>552</v>
      </c>
      <c r="H206" s="4" t="s">
        <v>857</v>
      </c>
      <c r="I206" s="1">
        <v>2</v>
      </c>
      <c r="J206" s="1">
        <v>2</v>
      </c>
      <c r="K206" s="1">
        <f>Tableau1434567[[#This Row],[Fréquence]]*Tableau1434567[[#This Row],[Gravité]]</f>
        <v>4</v>
      </c>
      <c r="L206" s="4" t="s">
        <v>749</v>
      </c>
      <c r="M206" s="1">
        <v>1</v>
      </c>
      <c r="N206" s="5">
        <f>Tableau1434567[[#This Row],[Priorité initiale]]*Tableau1434567[[#This Row],[Moyen de Maitrise]]</f>
        <v>4</v>
      </c>
      <c r="O206" s="17" t="str">
        <f>IF(AND(N206&gt;=0,N206&lt;4),"P3",IF(AND(N206&gt;=4,N206&lt;=8),"P2",IF(N206&gt;8,"P1","")))</f>
        <v>P2</v>
      </c>
      <c r="P206" s="4" t="s">
        <v>923</v>
      </c>
    </row>
    <row r="207" spans="1:16" ht="75" x14ac:dyDescent="0.25">
      <c r="A207" s="4" t="s">
        <v>854</v>
      </c>
      <c r="B207" s="4" t="s">
        <v>855</v>
      </c>
      <c r="C207" s="4" t="s">
        <v>872</v>
      </c>
      <c r="D207" s="7">
        <v>12</v>
      </c>
      <c r="E207" s="4" t="s">
        <v>165</v>
      </c>
      <c r="F207" s="4" t="s">
        <v>164</v>
      </c>
      <c r="G207" s="4" t="s">
        <v>552</v>
      </c>
      <c r="H207" s="4" t="s">
        <v>857</v>
      </c>
      <c r="I207" s="1">
        <v>2</v>
      </c>
      <c r="J207" s="1">
        <v>2</v>
      </c>
      <c r="K207" s="1">
        <f>Tableau1434567[[#This Row],[Fréquence]]*Tableau1434567[[#This Row],[Gravité]]</f>
        <v>4</v>
      </c>
      <c r="L207" s="4" t="s">
        <v>749</v>
      </c>
      <c r="M207" s="1">
        <v>1</v>
      </c>
      <c r="N207" s="5">
        <f>Tableau1434567[[#This Row],[Priorité initiale]]*Tableau1434567[[#This Row],[Moyen de Maitrise]]</f>
        <v>4</v>
      </c>
      <c r="O207" s="17" t="str">
        <f>IF(AND(N207&gt;=0,N207&lt;4),"P3",IF(AND(N207&gt;=4,N207&lt;=8),"P2",IF(N207&gt;8,"P1","")))</f>
        <v>P2</v>
      </c>
      <c r="P207" s="4" t="s">
        <v>923</v>
      </c>
    </row>
    <row r="208" spans="1:16" ht="75" x14ac:dyDescent="0.25">
      <c r="A208" s="4" t="s">
        <v>829</v>
      </c>
      <c r="B208" s="4" t="s">
        <v>830</v>
      </c>
      <c r="C208" s="4" t="s">
        <v>831</v>
      </c>
      <c r="D208" s="7">
        <v>15</v>
      </c>
      <c r="E208" s="4" t="s">
        <v>155</v>
      </c>
      <c r="F208" s="4" t="s">
        <v>156</v>
      </c>
      <c r="G208" s="4" t="s">
        <v>137</v>
      </c>
      <c r="H208" s="4" t="s">
        <v>10</v>
      </c>
      <c r="I208" s="1">
        <v>2</v>
      </c>
      <c r="J208" s="1">
        <v>3</v>
      </c>
      <c r="K208" s="1">
        <f>Tableau1434567[[#This Row],[Fréquence]]*Tableau1434567[[#This Row],[Gravité]]</f>
        <v>6</v>
      </c>
      <c r="L208" s="4" t="s">
        <v>928</v>
      </c>
      <c r="M208" s="1">
        <v>0.75</v>
      </c>
      <c r="N208" s="5">
        <f>Tableau1434567[[#This Row],[Priorité initiale]]*Tableau1434567[[#This Row],[Moyen de Maitrise]]</f>
        <v>4.5</v>
      </c>
      <c r="O208" s="17" t="str">
        <f>IF(AND(N208&gt;=0,N208&lt;4),"P3",IF(AND(N208&gt;=4,N208&lt;=8),"P2",IF(N208&gt;8,"P1","")))</f>
        <v>P2</v>
      </c>
      <c r="P208" s="4" t="s">
        <v>929</v>
      </c>
    </row>
    <row r="209" spans="1:16" ht="45" x14ac:dyDescent="0.25">
      <c r="A209" s="4" t="s">
        <v>832</v>
      </c>
      <c r="B209" s="4" t="s">
        <v>889</v>
      </c>
      <c r="C209" s="4" t="s">
        <v>890</v>
      </c>
      <c r="D209" s="7">
        <v>17</v>
      </c>
      <c r="E209" s="4" t="s">
        <v>136</v>
      </c>
      <c r="F209" s="4" t="s">
        <v>372</v>
      </c>
      <c r="G209" s="4" t="s">
        <v>932</v>
      </c>
      <c r="H209" s="4" t="s">
        <v>891</v>
      </c>
      <c r="I209" s="1">
        <v>3</v>
      </c>
      <c r="J209" s="1">
        <v>2</v>
      </c>
      <c r="K209" s="1">
        <f>Tableau1434567[[#This Row],[Fréquence]]*Tableau1434567[[#This Row],[Gravité]]</f>
        <v>6</v>
      </c>
      <c r="L209" s="4" t="s">
        <v>933</v>
      </c>
      <c r="M209" s="1">
        <v>0.75</v>
      </c>
      <c r="N209" s="5">
        <f>Tableau1434567[[#This Row],[Priorité initiale]]*Tableau1434567[[#This Row],[Moyen de Maitrise]]</f>
        <v>4.5</v>
      </c>
      <c r="O209" s="17" t="str">
        <f>IF(AND(N209&gt;=0,N209&lt;4),"P3",IF(AND(N209&gt;=4,N209&lt;=8),"P2",IF(N209&gt;8,"P1","")))</f>
        <v>P2</v>
      </c>
      <c r="P209" s="4" t="s">
        <v>934</v>
      </c>
    </row>
    <row r="210" spans="1:16" ht="45" x14ac:dyDescent="0.25">
      <c r="A210" s="4" t="s">
        <v>832</v>
      </c>
      <c r="B210" s="4" t="s">
        <v>833</v>
      </c>
      <c r="C210" s="4" t="s">
        <v>834</v>
      </c>
      <c r="D210" s="7">
        <v>17</v>
      </c>
      <c r="E210" s="4" t="s">
        <v>136</v>
      </c>
      <c r="F210" s="4" t="s">
        <v>935</v>
      </c>
      <c r="G210" s="4" t="s">
        <v>932</v>
      </c>
      <c r="H210" s="4" t="s">
        <v>838</v>
      </c>
      <c r="I210" s="1">
        <v>3</v>
      </c>
      <c r="J210" s="1">
        <v>2</v>
      </c>
      <c r="K210" s="1">
        <f>Tableau1434567[[#This Row],[Fréquence]]*Tableau1434567[[#This Row],[Gravité]]</f>
        <v>6</v>
      </c>
      <c r="L210" s="4" t="s">
        <v>936</v>
      </c>
      <c r="M210" s="1">
        <v>0.75</v>
      </c>
      <c r="N210" s="5">
        <f>Tableau1434567[[#This Row],[Priorité initiale]]*Tableau1434567[[#This Row],[Moyen de Maitrise]]</f>
        <v>4.5</v>
      </c>
      <c r="O210" s="17" t="str">
        <f>IF(AND(N210&gt;=0,N210&lt;4),"P3",IF(AND(N210&gt;=4,N210&lt;=8),"P2",IF(N210&gt;8,"P1","")))</f>
        <v>P2</v>
      </c>
      <c r="P210" s="4" t="s">
        <v>937</v>
      </c>
    </row>
    <row r="211" spans="1:16" ht="60" x14ac:dyDescent="0.25">
      <c r="A211" s="4" t="s">
        <v>829</v>
      </c>
      <c r="B211" s="4" t="s">
        <v>830</v>
      </c>
      <c r="C211" s="4" t="s">
        <v>831</v>
      </c>
      <c r="D211" s="7">
        <v>19</v>
      </c>
      <c r="E211" s="4" t="s">
        <v>127</v>
      </c>
      <c r="F211" s="4" t="s">
        <v>126</v>
      </c>
      <c r="G211" s="4" t="s">
        <v>128</v>
      </c>
      <c r="H211" s="8" t="s">
        <v>10</v>
      </c>
      <c r="I211" s="1">
        <v>3</v>
      </c>
      <c r="J211" s="1">
        <v>3</v>
      </c>
      <c r="K211" s="1">
        <f>Tableau1434567[[#This Row],[Fréquence]]*Tableau1434567[[#This Row],[Gravité]]</f>
        <v>9</v>
      </c>
      <c r="L211" s="4" t="s">
        <v>940</v>
      </c>
      <c r="M211" s="1">
        <v>0.75</v>
      </c>
      <c r="N211" s="5">
        <f>Tableau1434567[[#This Row],[Priorité initiale]]*Tableau1434567[[#This Row],[Moyen de Maitrise]]</f>
        <v>6.75</v>
      </c>
      <c r="O211" s="17" t="str">
        <f>IF(AND(N211&gt;=0,N211&lt;4),"P3",IF(AND(N211&gt;=4,N211&lt;=8),"P2",IF(N211&gt;8,"P1","")))</f>
        <v>P2</v>
      </c>
      <c r="P211" s="4" t="s">
        <v>595</v>
      </c>
    </row>
    <row r="212" spans="1:16" ht="45" x14ac:dyDescent="0.25">
      <c r="A212" s="4" t="s">
        <v>829</v>
      </c>
      <c r="B212" s="4" t="s">
        <v>830</v>
      </c>
      <c r="C212" s="4" t="s">
        <v>831</v>
      </c>
      <c r="D212" s="7">
        <v>20</v>
      </c>
      <c r="E212" s="4" t="s">
        <v>122</v>
      </c>
      <c r="F212" s="4" t="s">
        <v>124</v>
      </c>
      <c r="G212" s="4" t="s">
        <v>945</v>
      </c>
      <c r="H212" s="4" t="s">
        <v>10</v>
      </c>
      <c r="I212" s="1">
        <v>2</v>
      </c>
      <c r="J212" s="1">
        <v>3</v>
      </c>
      <c r="K212" s="1">
        <f>Tableau1434567[[#This Row],[Fréquence]]*Tableau1434567[[#This Row],[Gravité]]</f>
        <v>6</v>
      </c>
      <c r="L212" s="4" t="s">
        <v>946</v>
      </c>
      <c r="M212" s="1">
        <v>0.75</v>
      </c>
      <c r="N212" s="5">
        <f>Tableau1434567[[#This Row],[Priorité initiale]]*Tableau1434567[[#This Row],[Moyen de Maitrise]]</f>
        <v>4.5</v>
      </c>
      <c r="O212" s="17" t="str">
        <f>IF(AND(N212&gt;=0,N212&lt;4),"P3",IF(AND(N212&gt;=4,N212&lt;=8),"P2",IF(N212&gt;8,"P1","")))</f>
        <v>P2</v>
      </c>
      <c r="P212" s="4" t="s">
        <v>947</v>
      </c>
    </row>
    <row r="213" spans="1:16" ht="75" x14ac:dyDescent="0.25">
      <c r="A213" s="4" t="s">
        <v>829</v>
      </c>
      <c r="B213" s="4" t="s">
        <v>830</v>
      </c>
      <c r="C213" s="4" t="s">
        <v>831</v>
      </c>
      <c r="D213" s="7">
        <v>21</v>
      </c>
      <c r="E213" s="4" t="s">
        <v>118</v>
      </c>
      <c r="F213" s="4" t="s">
        <v>120</v>
      </c>
      <c r="G213" s="4" t="s">
        <v>50</v>
      </c>
      <c r="H213" s="4" t="s">
        <v>10</v>
      </c>
      <c r="I213" s="1">
        <v>3</v>
      </c>
      <c r="J213" s="1">
        <v>4</v>
      </c>
      <c r="K213" s="1">
        <f>Tableau1434567[[#This Row],[Fréquence]]*Tableau1434567[[#This Row],[Gravité]]</f>
        <v>12</v>
      </c>
      <c r="L213" s="4" t="s">
        <v>839</v>
      </c>
      <c r="M213" s="1">
        <v>0.5</v>
      </c>
      <c r="N213" s="5">
        <f>Tableau1434567[[#This Row],[Priorité initiale]]*Tableau1434567[[#This Row],[Moyen de Maitrise]]</f>
        <v>6</v>
      </c>
      <c r="O213" s="17" t="str">
        <f>IF(AND(N213&gt;=0,N213&lt;4),"P3",IF(AND(N213&gt;=4,N213&lt;=8),"P2",IF(N213&gt;8,"P1","")))</f>
        <v>P2</v>
      </c>
      <c r="P213" s="4" t="s">
        <v>842</v>
      </c>
    </row>
    <row r="214" spans="1:16" ht="30" x14ac:dyDescent="0.25">
      <c r="A214" s="4" t="s">
        <v>832</v>
      </c>
      <c r="B214" s="4" t="s">
        <v>833</v>
      </c>
      <c r="C214" s="4" t="s">
        <v>834</v>
      </c>
      <c r="D214" s="7">
        <v>21</v>
      </c>
      <c r="E214" s="4" t="s">
        <v>118</v>
      </c>
      <c r="F214" s="4" t="s">
        <v>120</v>
      </c>
      <c r="G214" s="4" t="s">
        <v>806</v>
      </c>
      <c r="H214" s="4" t="s">
        <v>838</v>
      </c>
      <c r="I214" s="1">
        <v>2</v>
      </c>
      <c r="J214" s="1">
        <v>3</v>
      </c>
      <c r="K214" s="1">
        <f>Tableau1434567[[#This Row],[Fréquence]]*Tableau1434567[[#This Row],[Gravité]]</f>
        <v>6</v>
      </c>
      <c r="L214" s="4" t="s">
        <v>840</v>
      </c>
      <c r="M214" s="1">
        <v>0.75</v>
      </c>
      <c r="N214" s="5">
        <f>Tableau1434567[[#This Row],[Priorité initiale]]*Tableau1434567[[#This Row],[Moyen de Maitrise]]</f>
        <v>4.5</v>
      </c>
      <c r="O214" s="17" t="str">
        <f>IF(AND(N214&gt;=0,N214&lt;4),"P3",IF(AND(N214&gt;=4,N214&lt;=8),"P2",IF(N214&gt;8,"P1","")))</f>
        <v>P2</v>
      </c>
      <c r="P214" s="4" t="s">
        <v>843</v>
      </c>
    </row>
    <row r="215" spans="1:16" ht="75" x14ac:dyDescent="0.25">
      <c r="A215" s="4" t="s">
        <v>829</v>
      </c>
      <c r="B215" s="4" t="s">
        <v>830</v>
      </c>
      <c r="C215" s="4" t="s">
        <v>831</v>
      </c>
      <c r="D215" s="7">
        <v>40</v>
      </c>
      <c r="E215" s="4" t="s">
        <v>111</v>
      </c>
      <c r="F215" s="4" t="s">
        <v>110</v>
      </c>
      <c r="G215" s="4" t="s">
        <v>109</v>
      </c>
      <c r="H215" s="4" t="s">
        <v>10</v>
      </c>
      <c r="I215" s="1">
        <v>2</v>
      </c>
      <c r="J215" s="1">
        <v>4</v>
      </c>
      <c r="K215" s="1">
        <f>Tableau1434567[[#This Row],[Fréquence]]*Tableau1434567[[#This Row],[Gravité]]</f>
        <v>8</v>
      </c>
      <c r="L215" s="4" t="s">
        <v>962</v>
      </c>
      <c r="M215" s="1">
        <v>0.75</v>
      </c>
      <c r="N215" s="5">
        <f>Tableau1434567[[#This Row],[Priorité initiale]]*Tableau1434567[[#This Row],[Moyen de Maitrise]]</f>
        <v>6</v>
      </c>
      <c r="O215" s="17" t="str">
        <f>IF(AND(N215&gt;=0,N215&lt;4),"P3",IF(AND(N215&gt;=4,N215&lt;=8),"P2",IF(N215&gt;8,"P1","")))</f>
        <v>P2</v>
      </c>
      <c r="P215" s="4" t="s">
        <v>963</v>
      </c>
    </row>
    <row r="216" spans="1:16" ht="75" x14ac:dyDescent="0.25">
      <c r="A216" s="4" t="s">
        <v>829</v>
      </c>
      <c r="B216" s="4" t="s">
        <v>830</v>
      </c>
      <c r="C216" s="4" t="s">
        <v>831</v>
      </c>
      <c r="D216" s="7">
        <v>26</v>
      </c>
      <c r="E216" s="4" t="s">
        <v>81</v>
      </c>
      <c r="F216" s="4" t="s">
        <v>85</v>
      </c>
      <c r="G216" s="4" t="s">
        <v>84</v>
      </c>
      <c r="H216" s="6" t="s">
        <v>10</v>
      </c>
      <c r="I216" s="1">
        <v>3</v>
      </c>
      <c r="J216" s="1">
        <v>3</v>
      </c>
      <c r="K216" s="1">
        <f>Tableau1434567[[#This Row],[Fréquence]]*Tableau1434567[[#This Row],[Gravité]]</f>
        <v>9</v>
      </c>
      <c r="L216" s="4" t="s">
        <v>83</v>
      </c>
      <c r="M216" s="1">
        <v>0.75</v>
      </c>
      <c r="N216" s="5">
        <f>Tableau1434567[[#This Row],[Priorité initiale]]*Tableau1434567[[#This Row],[Moyen de Maitrise]]</f>
        <v>6.75</v>
      </c>
      <c r="O216" s="17" t="str">
        <f>IF(AND(N216&gt;=0,N216&lt;4),"P3",IF(AND(N216&gt;=4,N216&lt;=8),"P2",IF(N216&gt;8,"P1","")))</f>
        <v>P2</v>
      </c>
      <c r="P216" s="4" t="s">
        <v>82</v>
      </c>
    </row>
    <row r="217" spans="1:16" ht="75" x14ac:dyDescent="0.25">
      <c r="A217" s="4" t="s">
        <v>832</v>
      </c>
      <c r="B217" s="4" t="s">
        <v>833</v>
      </c>
      <c r="C217" s="4" t="s">
        <v>834</v>
      </c>
      <c r="D217" s="7">
        <v>26</v>
      </c>
      <c r="E217" s="4" t="s">
        <v>81</v>
      </c>
      <c r="F217" s="4" t="s">
        <v>80</v>
      </c>
      <c r="G217" s="4" t="s">
        <v>79</v>
      </c>
      <c r="H217" s="6" t="s">
        <v>838</v>
      </c>
      <c r="I217" s="1">
        <v>2</v>
      </c>
      <c r="J217" s="1">
        <v>2</v>
      </c>
      <c r="K217" s="1">
        <f>Tableau1434567[[#This Row],[Fréquence]]*Tableau1434567[[#This Row],[Gravité]]</f>
        <v>4</v>
      </c>
      <c r="L217" s="4" t="s">
        <v>804</v>
      </c>
      <c r="M217" s="1">
        <v>1</v>
      </c>
      <c r="N217" s="5">
        <f>Tableau1434567[[#This Row],[Priorité initiale]]*Tableau1434567[[#This Row],[Moyen de Maitrise]]</f>
        <v>4</v>
      </c>
      <c r="O217" s="17" t="str">
        <f>IF(AND(N217&gt;=0,N217&lt;4),"P3",IF(AND(N217&gt;=4,N217&lt;=8),"P2",IF(N217&gt;8,"P1","")))</f>
        <v>P2</v>
      </c>
      <c r="P217" s="4" t="s">
        <v>87</v>
      </c>
    </row>
    <row r="218" spans="1:16" ht="165" x14ac:dyDescent="0.25">
      <c r="A218" s="4" t="s">
        <v>832</v>
      </c>
      <c r="B218" s="4" t="s">
        <v>833</v>
      </c>
      <c r="C218" s="4" t="s">
        <v>834</v>
      </c>
      <c r="D218" s="7">
        <v>28</v>
      </c>
      <c r="E218" s="4" t="s">
        <v>826</v>
      </c>
      <c r="F218" s="4" t="s">
        <v>827</v>
      </c>
      <c r="G218" s="4" t="s">
        <v>13</v>
      </c>
      <c r="H218" s="6" t="s">
        <v>838</v>
      </c>
      <c r="I218" s="1">
        <v>4</v>
      </c>
      <c r="J218" s="1">
        <v>2</v>
      </c>
      <c r="K218" s="1">
        <f>Tableau1434567[[#This Row],[Fréquence]]*Tableau1434567[[#This Row],[Gravité]]</f>
        <v>8</v>
      </c>
      <c r="L218" s="4" t="s">
        <v>971</v>
      </c>
      <c r="M218" s="1">
        <v>0.75</v>
      </c>
      <c r="N218" s="5">
        <f>Tableau1434567[[#This Row],[Priorité initiale]]*Tableau1434567[[#This Row],[Moyen de Maitrise]]</f>
        <v>6</v>
      </c>
      <c r="O218" s="17" t="str">
        <f>IF(AND(N218&gt;=0,N218&lt;4),"P3",IF(AND(N218&gt;=4,N218&lt;=8),"P2",IF(N218&gt;8,"P1","")))</f>
        <v>P2</v>
      </c>
      <c r="P218" s="4" t="s">
        <v>606</v>
      </c>
    </row>
    <row r="219" spans="1:16" ht="165" x14ac:dyDescent="0.25">
      <c r="A219" s="4" t="s">
        <v>832</v>
      </c>
      <c r="B219" s="4" t="s">
        <v>889</v>
      </c>
      <c r="C219" s="4" t="s">
        <v>890</v>
      </c>
      <c r="D219" s="7">
        <v>28</v>
      </c>
      <c r="E219" s="4" t="s">
        <v>826</v>
      </c>
      <c r="F219" s="4" t="s">
        <v>827</v>
      </c>
      <c r="G219" s="4" t="s">
        <v>13</v>
      </c>
      <c r="H219" s="6" t="s">
        <v>891</v>
      </c>
      <c r="I219" s="1">
        <v>4</v>
      </c>
      <c r="J219" s="1">
        <v>2</v>
      </c>
      <c r="K219" s="1">
        <f>Tableau1434567[[#This Row],[Fréquence]]*Tableau1434567[[#This Row],[Gravité]]</f>
        <v>8</v>
      </c>
      <c r="L219" s="4" t="s">
        <v>972</v>
      </c>
      <c r="M219" s="1">
        <v>0.5</v>
      </c>
      <c r="N219" s="5">
        <f>Tableau1434567[[#This Row],[Priorité initiale]]*Tableau1434567[[#This Row],[Moyen de Maitrise]]</f>
        <v>4</v>
      </c>
      <c r="O219" s="17" t="str">
        <f>IF(AND(N219&gt;=0,N219&lt;4),"P3",IF(AND(N219&gt;=4,N219&lt;=8),"P2",IF(N219&gt;8,"P1","")))</f>
        <v>P2</v>
      </c>
      <c r="P219" s="4"/>
    </row>
    <row r="220" spans="1:16" ht="150" x14ac:dyDescent="0.25">
      <c r="A220" s="4" t="s">
        <v>829</v>
      </c>
      <c r="B220" s="4" t="s">
        <v>830</v>
      </c>
      <c r="C220" s="4" t="s">
        <v>831</v>
      </c>
      <c r="D220" s="7">
        <v>30</v>
      </c>
      <c r="E220" s="4" t="s">
        <v>60</v>
      </c>
      <c r="F220" s="4" t="s">
        <v>59</v>
      </c>
      <c r="G220" s="4" t="s">
        <v>58</v>
      </c>
      <c r="H220" s="6" t="s">
        <v>10</v>
      </c>
      <c r="I220" s="1">
        <v>3</v>
      </c>
      <c r="J220" s="1">
        <v>3</v>
      </c>
      <c r="K220" s="1">
        <f>Tableau1434567[[#This Row],[Fréquence]]*Tableau1434567[[#This Row],[Gravité]]</f>
        <v>9</v>
      </c>
      <c r="L220" s="4" t="s">
        <v>61</v>
      </c>
      <c r="M220" s="1">
        <v>0.5</v>
      </c>
      <c r="N220" s="5">
        <f>Tableau1434567[[#This Row],[Priorité initiale]]*Tableau1434567[[#This Row],[Moyen de Maitrise]]</f>
        <v>4.5</v>
      </c>
      <c r="O220" s="17" t="str">
        <f>IF(AND(N220&gt;=0,N220&lt;4),"P3",IF(AND(N220&gt;=4,N220&lt;=8),"P2",IF(N220&gt;8,"P1","")))</f>
        <v>P2</v>
      </c>
      <c r="P220" s="4" t="s">
        <v>976</v>
      </c>
    </row>
    <row r="221" spans="1:16" ht="60" x14ac:dyDescent="0.25">
      <c r="A221" s="4" t="s">
        <v>832</v>
      </c>
      <c r="B221" s="4" t="s">
        <v>833</v>
      </c>
      <c r="C221" s="4" t="s">
        <v>834</v>
      </c>
      <c r="D221" s="7">
        <v>31</v>
      </c>
      <c r="E221" s="4" t="s">
        <v>52</v>
      </c>
      <c r="F221" s="4" t="s">
        <v>51</v>
      </c>
      <c r="G221" s="4" t="s">
        <v>712</v>
      </c>
      <c r="H221" s="6" t="s">
        <v>838</v>
      </c>
      <c r="I221" s="1">
        <v>2</v>
      </c>
      <c r="J221" s="1">
        <v>3</v>
      </c>
      <c r="K221" s="1">
        <f>Tableau1434567[[#This Row],[Fréquence]]*Tableau1434567[[#This Row],[Gravité]]</f>
        <v>6</v>
      </c>
      <c r="L221" s="4" t="s">
        <v>982</v>
      </c>
      <c r="M221" s="1">
        <v>0.75</v>
      </c>
      <c r="N221" s="5">
        <f>Tableau1434567[[#This Row],[Priorité initiale]]*Tableau1434567[[#This Row],[Moyen de Maitrise]]</f>
        <v>4.5</v>
      </c>
      <c r="O221" s="17" t="str">
        <f>IF(AND(N221&gt;=0,N221&lt;4),"P3",IF(AND(N221&gt;=4,N221&lt;=8),"P2",IF(N221&gt;8,"P1","")))</f>
        <v>P2</v>
      </c>
      <c r="P221" s="4" t="s">
        <v>983</v>
      </c>
    </row>
    <row r="222" spans="1:16" ht="165" x14ac:dyDescent="0.25">
      <c r="A222" s="4" t="s">
        <v>829</v>
      </c>
      <c r="B222" s="4" t="s">
        <v>830</v>
      </c>
      <c r="C222" s="4" t="s">
        <v>831</v>
      </c>
      <c r="D222" s="7">
        <v>33</v>
      </c>
      <c r="E222" s="4" t="s">
        <v>3</v>
      </c>
      <c r="F222" s="4" t="s">
        <v>4</v>
      </c>
      <c r="G222" s="4" t="s">
        <v>32</v>
      </c>
      <c r="H222" s="6" t="s">
        <v>10</v>
      </c>
      <c r="I222" s="1">
        <v>2</v>
      </c>
      <c r="J222" s="1">
        <v>3</v>
      </c>
      <c r="K222" s="1">
        <f>Tableau1434567[[#This Row],[Fréquence]]*Tableau1434567[[#This Row],[Gravité]]</f>
        <v>6</v>
      </c>
      <c r="L222" s="4" t="s">
        <v>31</v>
      </c>
      <c r="M222" s="1">
        <v>0.75</v>
      </c>
      <c r="N222" s="5">
        <f>Tableau1434567[[#This Row],[Priorité initiale]]*Tableau1434567[[#This Row],[Moyen de Maitrise]]</f>
        <v>4.5</v>
      </c>
      <c r="O222" s="17" t="str">
        <f>IF(AND(N222&gt;=0,N222&lt;4),"P3",IF(AND(N222&gt;=4,N222&lt;=8),"P2",IF(N222&gt;8,"P1","")))</f>
        <v>P2</v>
      </c>
      <c r="P222" s="4" t="s">
        <v>984</v>
      </c>
    </row>
    <row r="223" spans="1:16" ht="90" x14ac:dyDescent="0.25">
      <c r="A223" s="4" t="s">
        <v>832</v>
      </c>
      <c r="B223" s="4" t="s">
        <v>833</v>
      </c>
      <c r="C223" s="4" t="s">
        <v>834</v>
      </c>
      <c r="D223" s="7">
        <v>33</v>
      </c>
      <c r="E223" s="4" t="s">
        <v>3</v>
      </c>
      <c r="F223" s="4" t="s">
        <v>431</v>
      </c>
      <c r="G223" s="4" t="s">
        <v>432</v>
      </c>
      <c r="H223" s="6" t="s">
        <v>838</v>
      </c>
      <c r="I223" s="1">
        <v>2</v>
      </c>
      <c r="J223" s="1">
        <v>3</v>
      </c>
      <c r="K223" s="1">
        <f>Tableau1434567[[#This Row],[Fréquence]]*Tableau1434567[[#This Row],[Gravité]]</f>
        <v>6</v>
      </c>
      <c r="L223" s="4" t="s">
        <v>985</v>
      </c>
      <c r="M223" s="1">
        <v>0.75</v>
      </c>
      <c r="N223" s="5">
        <f>Tableau1434567[[#This Row],[Priorité initiale]]*Tableau1434567[[#This Row],[Moyen de Maitrise]]</f>
        <v>4.5</v>
      </c>
      <c r="O223" s="17" t="str">
        <f>IF(AND(N223&gt;=0,N223&lt;4),"P3",IF(AND(N223&gt;=4,N223&lt;=8),"P2",IF(N223&gt;8,"P1","")))</f>
        <v>P2</v>
      </c>
      <c r="P223" s="4" t="s">
        <v>986</v>
      </c>
    </row>
    <row r="224" spans="1:16" ht="105" x14ac:dyDescent="0.25">
      <c r="A224" s="4" t="s">
        <v>829</v>
      </c>
      <c r="B224" s="4" t="s">
        <v>830</v>
      </c>
      <c r="C224" s="4" t="s">
        <v>831</v>
      </c>
      <c r="D224" s="7">
        <v>33</v>
      </c>
      <c r="E224" s="4" t="s">
        <v>3</v>
      </c>
      <c r="F224" s="4" t="s">
        <v>2</v>
      </c>
      <c r="G224" s="4" t="s">
        <v>1</v>
      </c>
      <c r="H224" s="6" t="s">
        <v>10</v>
      </c>
      <c r="I224" s="1">
        <v>1</v>
      </c>
      <c r="J224" s="1">
        <v>4</v>
      </c>
      <c r="K224" s="1">
        <f>Tableau1434567[[#This Row],[Fréquence]]*Tableau1434567[[#This Row],[Gravité]]</f>
        <v>4</v>
      </c>
      <c r="L224" s="4" t="s">
        <v>0</v>
      </c>
      <c r="M224" s="1">
        <v>1</v>
      </c>
      <c r="N224" s="5">
        <f>Tableau1434567[[#This Row],[Priorité initiale]]*Tableau1434567[[#This Row],[Moyen de Maitrise]]</f>
        <v>4</v>
      </c>
      <c r="O224" s="17" t="str">
        <f>IF(AND(N224&gt;=0,N224&lt;4),"P3",IF(AND(N224&gt;=4,N224&lt;=8),"P2",IF(N224&gt;8,"P1","")))</f>
        <v>P2</v>
      </c>
      <c r="P224" s="4" t="s">
        <v>987</v>
      </c>
    </row>
    <row r="225" spans="1:20" ht="105" x14ac:dyDescent="0.25">
      <c r="A225" s="4" t="s">
        <v>832</v>
      </c>
      <c r="B225" s="4" t="s">
        <v>833</v>
      </c>
      <c r="C225" s="4" t="s">
        <v>834</v>
      </c>
      <c r="D225" s="7">
        <v>33</v>
      </c>
      <c r="E225" s="4" t="s">
        <v>3</v>
      </c>
      <c r="F225" s="4" t="s">
        <v>2</v>
      </c>
      <c r="G225" s="4" t="s">
        <v>1</v>
      </c>
      <c r="H225" s="6" t="s">
        <v>838</v>
      </c>
      <c r="I225" s="1">
        <v>1</v>
      </c>
      <c r="J225" s="1">
        <v>4</v>
      </c>
      <c r="K225" s="1">
        <f>Tableau1434567[[#This Row],[Fréquence]]*Tableau1434567[[#This Row],[Gravité]]</f>
        <v>4</v>
      </c>
      <c r="L225" s="4" t="s">
        <v>0</v>
      </c>
      <c r="M225" s="1">
        <v>1</v>
      </c>
      <c r="N225" s="5">
        <f>Tableau1434567[[#This Row],[Priorité initiale]]*Tableau1434567[[#This Row],[Moyen de Maitrise]]</f>
        <v>4</v>
      </c>
      <c r="O225" s="17" t="str">
        <f>IF(AND(N225&gt;=0,N225&lt;4),"P3",IF(AND(N225&gt;=4,N225&lt;=8),"P2",IF(N225&gt;8,"P1","")))</f>
        <v>P2</v>
      </c>
      <c r="P225" s="4" t="s">
        <v>987</v>
      </c>
    </row>
    <row r="226" spans="1:20" ht="105" x14ac:dyDescent="0.25">
      <c r="A226" s="4" t="s">
        <v>832</v>
      </c>
      <c r="B226" s="4" t="s">
        <v>833</v>
      </c>
      <c r="C226" s="4" t="s">
        <v>834</v>
      </c>
      <c r="D226" s="7">
        <v>36</v>
      </c>
      <c r="E226" s="4" t="s">
        <v>43</v>
      </c>
      <c r="F226" s="4" t="s">
        <v>42</v>
      </c>
      <c r="G226" s="4" t="s">
        <v>41</v>
      </c>
      <c r="H226" s="6" t="s">
        <v>838</v>
      </c>
      <c r="I226" s="1">
        <v>1</v>
      </c>
      <c r="J226" s="1">
        <v>4</v>
      </c>
      <c r="K226" s="1">
        <f>Tableau1434567[[#This Row],[Fréquence]]*Tableau1434567[[#This Row],[Gravité]]</f>
        <v>4</v>
      </c>
      <c r="L226" s="4" t="s">
        <v>776</v>
      </c>
      <c r="M226" s="1">
        <v>1</v>
      </c>
      <c r="N226" s="5">
        <f>Tableau1434567[[#This Row],[Priorité initiale]]*Tableau1434567[[#This Row],[Moyen de Maitrise]]</f>
        <v>4</v>
      </c>
      <c r="O226" s="17" t="str">
        <f>IF(AND(N226&gt;=0,N226&lt;4),"P3",IF(AND(N226&gt;=4,N226&lt;=8),"P2",IF(N226&gt;8,"P1","")))</f>
        <v>P2</v>
      </c>
      <c r="P226" s="4" t="s">
        <v>578</v>
      </c>
    </row>
    <row r="227" spans="1:20" ht="30" x14ac:dyDescent="0.25">
      <c r="A227" s="4" t="s">
        <v>829</v>
      </c>
      <c r="B227" s="4" t="s">
        <v>830</v>
      </c>
      <c r="C227" s="4" t="s">
        <v>875</v>
      </c>
      <c r="D227" s="7">
        <v>38</v>
      </c>
      <c r="E227" s="4" t="s">
        <v>36</v>
      </c>
      <c r="F227" s="4" t="s">
        <v>992</v>
      </c>
      <c r="G227" s="4" t="s">
        <v>34</v>
      </c>
      <c r="H227" s="6" t="s">
        <v>876</v>
      </c>
      <c r="I227" s="1">
        <v>4</v>
      </c>
      <c r="J227" s="1">
        <v>4</v>
      </c>
      <c r="K227" s="1">
        <f>Tableau1434567[[#This Row],[Fréquence]]*Tableau1434567[[#This Row],[Gravité]]</f>
        <v>16</v>
      </c>
      <c r="L227" s="4" t="s">
        <v>993</v>
      </c>
      <c r="M227" s="1">
        <v>0.5</v>
      </c>
      <c r="N227" s="5">
        <f>Tableau1434567[[#This Row],[Priorité initiale]]*Tableau1434567[[#This Row],[Moyen de Maitrise]]</f>
        <v>8</v>
      </c>
      <c r="O227" s="17" t="str">
        <f>IF(AND(N227&gt;=0,N227&lt;4),"P3",IF(AND(N227&gt;=4,N227&lt;=8),"P2",IF(N227&gt;8,"P1","")))</f>
        <v>P2</v>
      </c>
      <c r="P227" s="4"/>
    </row>
    <row r="228" spans="1:20" ht="270" x14ac:dyDescent="0.25">
      <c r="A228" s="4" t="s">
        <v>829</v>
      </c>
      <c r="B228" s="4" t="s">
        <v>830</v>
      </c>
      <c r="C228" s="4" t="s">
        <v>831</v>
      </c>
      <c r="D228" s="7">
        <v>38</v>
      </c>
      <c r="E228" s="4" t="s">
        <v>36</v>
      </c>
      <c r="F228" s="4" t="s">
        <v>35</v>
      </c>
      <c r="G228" s="4" t="s">
        <v>34</v>
      </c>
      <c r="H228" s="6" t="s">
        <v>10</v>
      </c>
      <c r="I228" s="1">
        <v>3</v>
      </c>
      <c r="J228" s="1">
        <v>4</v>
      </c>
      <c r="K228" s="1">
        <f>Tableau1434567[[#This Row],[Fréquence]]*Tableau1434567[[#This Row],[Gravité]]</f>
        <v>12</v>
      </c>
      <c r="L228" s="4" t="s">
        <v>770</v>
      </c>
      <c r="M228" s="1">
        <v>0.5</v>
      </c>
      <c r="N228" s="5">
        <f>Tableau1434567[[#This Row],[Priorité initiale]]*Tableau1434567[[#This Row],[Moyen de Maitrise]]</f>
        <v>6</v>
      </c>
      <c r="O228" s="17" t="str">
        <f>IF(AND(N228&gt;=0,N228&lt;4),"P3",IF(AND(N228&gt;=4,N228&lt;=8),"P2",IF(N228&gt;8,"P1","")))</f>
        <v>P2</v>
      </c>
      <c r="P228" s="4" t="s">
        <v>771</v>
      </c>
    </row>
    <row r="229" spans="1:20" ht="270" x14ac:dyDescent="0.25">
      <c r="A229" s="4" t="s">
        <v>832</v>
      </c>
      <c r="B229" s="4" t="s">
        <v>833</v>
      </c>
      <c r="C229" s="4" t="s">
        <v>834</v>
      </c>
      <c r="D229" s="7">
        <v>38</v>
      </c>
      <c r="E229" s="4" t="s">
        <v>36</v>
      </c>
      <c r="F229" s="4" t="s">
        <v>35</v>
      </c>
      <c r="G229" s="4" t="s">
        <v>50</v>
      </c>
      <c r="H229" s="6" t="s">
        <v>838</v>
      </c>
      <c r="I229" s="1">
        <v>3</v>
      </c>
      <c r="J229" s="1">
        <v>4</v>
      </c>
      <c r="K229" s="1">
        <f>Tableau1434567[[#This Row],[Fréquence]]*Tableau1434567[[#This Row],[Gravité]]</f>
        <v>12</v>
      </c>
      <c r="L229" s="4" t="s">
        <v>770</v>
      </c>
      <c r="M229" s="1">
        <v>0.5</v>
      </c>
      <c r="N229" s="5">
        <f>Tableau1434567[[#This Row],[Priorité initiale]]*Tableau1434567[[#This Row],[Moyen de Maitrise]]</f>
        <v>6</v>
      </c>
      <c r="O229" s="17" t="str">
        <f>IF(AND(N229&gt;=0,N229&lt;4),"P3",IF(AND(N229&gt;=4,N229&lt;=8),"P2",IF(N229&gt;8,"P1","")))</f>
        <v>P2</v>
      </c>
      <c r="P229" s="4" t="s">
        <v>771</v>
      </c>
    </row>
    <row r="230" spans="1:20" ht="285" x14ac:dyDescent="0.25">
      <c r="A230" s="4" t="s">
        <v>829</v>
      </c>
      <c r="B230" s="4" t="s">
        <v>830</v>
      </c>
      <c r="C230" s="4" t="s">
        <v>831</v>
      </c>
      <c r="D230" s="7">
        <v>2</v>
      </c>
      <c r="E230" s="4" t="s">
        <v>762</v>
      </c>
      <c r="F230" s="4" t="s">
        <v>994</v>
      </c>
      <c r="G230" s="4" t="s">
        <v>20</v>
      </c>
      <c r="H230" s="6" t="s">
        <v>10</v>
      </c>
      <c r="I230" s="1">
        <v>2</v>
      </c>
      <c r="J230" s="1">
        <v>4</v>
      </c>
      <c r="K230" s="1">
        <f>Tableau1434567[[#This Row],[Fréquence]]*Tableau1434567[[#This Row],[Gravité]]</f>
        <v>8</v>
      </c>
      <c r="L230" s="4" t="s">
        <v>26</v>
      </c>
      <c r="M230" s="1">
        <v>1</v>
      </c>
      <c r="N230" s="5">
        <f>Tableau1434567[[#This Row],[Priorité initiale]]*Tableau1434567[[#This Row],[Moyen de Maitrise]]</f>
        <v>8</v>
      </c>
      <c r="O230" s="17" t="str">
        <f>IF(AND(N230&gt;=0,N230&lt;4),"P3",IF(AND(N230&gt;=4,N230&lt;=8),"P2",IF(N230&gt;8,"P1","")))</f>
        <v>P2</v>
      </c>
      <c r="P230" s="4" t="s">
        <v>995</v>
      </c>
    </row>
    <row r="231" spans="1:20" ht="150" x14ac:dyDescent="0.25">
      <c r="A231" s="4" t="s">
        <v>829</v>
      </c>
      <c r="B231" s="4" t="s">
        <v>830</v>
      </c>
      <c r="C231" s="4" t="s">
        <v>831</v>
      </c>
      <c r="D231" s="7">
        <v>2</v>
      </c>
      <c r="E231" s="4" t="s">
        <v>762</v>
      </c>
      <c r="F231" s="4" t="s">
        <v>463</v>
      </c>
      <c r="G231" s="4" t="s">
        <v>18</v>
      </c>
      <c r="H231" s="6" t="s">
        <v>10</v>
      </c>
      <c r="I231" s="1">
        <v>2</v>
      </c>
      <c r="J231" s="1">
        <v>3</v>
      </c>
      <c r="K231" s="1">
        <f>Tableau1434567[[#This Row],[Fréquence]]*Tableau1434567[[#This Row],[Gravité]]</f>
        <v>6</v>
      </c>
      <c r="L231" s="4" t="s">
        <v>783</v>
      </c>
      <c r="M231" s="1">
        <v>0.75</v>
      </c>
      <c r="N231" s="5">
        <f>Tableau1434567[[#This Row],[Priorité initiale]]*Tableau1434567[[#This Row],[Moyen de Maitrise]]</f>
        <v>4.5</v>
      </c>
      <c r="O231" s="17" t="str">
        <f>IF(AND(N231&gt;=0,N231&lt;4),"P3",IF(AND(N231&gt;=4,N231&lt;=8),"P2",IF(N231&gt;8,"P1","")))</f>
        <v>P2</v>
      </c>
      <c r="P231" s="4" t="s">
        <v>28</v>
      </c>
    </row>
    <row r="232" spans="1:20" ht="315" x14ac:dyDescent="0.25">
      <c r="A232" s="4" t="s">
        <v>829</v>
      </c>
      <c r="B232" s="4" t="s">
        <v>830</v>
      </c>
      <c r="C232" s="4" t="s">
        <v>831</v>
      </c>
      <c r="D232" s="7">
        <v>2</v>
      </c>
      <c r="E232" s="4" t="s">
        <v>762</v>
      </c>
      <c r="F232" s="4" t="s">
        <v>996</v>
      </c>
      <c r="G232" s="4" t="s">
        <v>17</v>
      </c>
      <c r="H232" s="6" t="s">
        <v>10</v>
      </c>
      <c r="I232" s="1">
        <v>2</v>
      </c>
      <c r="J232" s="1">
        <v>3</v>
      </c>
      <c r="K232" s="1">
        <f>Tableau1434567[[#This Row],[Fréquence]]*Tableau1434567[[#This Row],[Gravité]]</f>
        <v>6</v>
      </c>
      <c r="L232" s="4" t="s">
        <v>997</v>
      </c>
      <c r="M232" s="1">
        <v>0.75</v>
      </c>
      <c r="N232" s="5">
        <f>Tableau1434567[[#This Row],[Priorité initiale]]*Tableau1434567[[#This Row],[Moyen de Maitrise]]</f>
        <v>4.5</v>
      </c>
      <c r="O232" s="17" t="str">
        <f>IF(AND(N232&gt;=0,N232&lt;4),"P3",IF(AND(N232&gt;=4,N232&lt;=8),"P2",IF(N232&gt;8,"P1","")))</f>
        <v>P2</v>
      </c>
      <c r="P232" s="4" t="s">
        <v>19</v>
      </c>
    </row>
    <row r="233" spans="1:20" ht="75" x14ac:dyDescent="0.25">
      <c r="A233" s="4" t="s">
        <v>829</v>
      </c>
      <c r="B233" s="4" t="s">
        <v>830</v>
      </c>
      <c r="C233" s="4" t="s">
        <v>831</v>
      </c>
      <c r="D233" s="7">
        <v>2</v>
      </c>
      <c r="E233" s="4" t="s">
        <v>762</v>
      </c>
      <c r="F233" s="4" t="s">
        <v>22</v>
      </c>
      <c r="G233" s="4" t="s">
        <v>21</v>
      </c>
      <c r="H233" s="6" t="s">
        <v>10</v>
      </c>
      <c r="I233" s="1">
        <v>2</v>
      </c>
      <c r="J233" s="1">
        <v>4</v>
      </c>
      <c r="K233" s="1">
        <f>Tableau1434567[[#This Row],[Fréquence]]*Tableau1434567[[#This Row],[Gravité]]</f>
        <v>8</v>
      </c>
      <c r="L233" s="4" t="s">
        <v>24</v>
      </c>
      <c r="M233" s="1">
        <v>0.5</v>
      </c>
      <c r="N233" s="5">
        <f>Tableau1434567[[#This Row],[Priorité initiale]]*Tableau1434567[[#This Row],[Moyen de Maitrise]]</f>
        <v>4</v>
      </c>
      <c r="O233" s="17" t="str">
        <f>IF(AND(N233&gt;=0,N233&lt;4),"P3",IF(AND(N233&gt;=4,N233&lt;=8),"P2",IF(N233&gt;8,"P1","")))</f>
        <v>P2</v>
      </c>
      <c r="P233" s="4" t="s">
        <v>25</v>
      </c>
    </row>
    <row r="234" spans="1:20" ht="90" x14ac:dyDescent="0.25">
      <c r="A234" s="4" t="s">
        <v>832</v>
      </c>
      <c r="B234" s="4" t="s">
        <v>833</v>
      </c>
      <c r="C234" s="4" t="s">
        <v>834</v>
      </c>
      <c r="D234" s="7">
        <v>2</v>
      </c>
      <c r="E234" s="4" t="s">
        <v>762</v>
      </c>
      <c r="F234" s="4" t="s">
        <v>463</v>
      </c>
      <c r="G234" s="4" t="s">
        <v>18</v>
      </c>
      <c r="H234" s="6" t="s">
        <v>838</v>
      </c>
      <c r="I234" s="1">
        <v>3</v>
      </c>
      <c r="J234" s="1">
        <v>2</v>
      </c>
      <c r="K234" s="1">
        <f>Tableau1434567[[#This Row],[Fréquence]]*Tableau1434567[[#This Row],[Gravité]]</f>
        <v>6</v>
      </c>
      <c r="L234" s="4" t="s">
        <v>783</v>
      </c>
      <c r="M234" s="1">
        <v>0.75</v>
      </c>
      <c r="N234" s="5">
        <f>Tableau1434567[[#This Row],[Priorité initiale]]*Tableau1434567[[#This Row],[Moyen de Maitrise]]</f>
        <v>4.5</v>
      </c>
      <c r="O234" s="17" t="str">
        <f>IF(AND(N234&gt;=0,N234&lt;4),"P3",IF(AND(N234&gt;=4,N234&lt;=8),"P2",IF(N234&gt;8,"P1","")))</f>
        <v>P2</v>
      </c>
      <c r="P234" s="4" t="s">
        <v>784</v>
      </c>
    </row>
    <row r="235" spans="1:20" ht="270" x14ac:dyDescent="0.25">
      <c r="A235" s="4" t="s">
        <v>832</v>
      </c>
      <c r="B235" s="4" t="s">
        <v>833</v>
      </c>
      <c r="C235" s="4" t="s">
        <v>834</v>
      </c>
      <c r="D235" s="7">
        <v>2</v>
      </c>
      <c r="E235" s="4" t="s">
        <v>762</v>
      </c>
      <c r="F235" s="4" t="s">
        <v>996</v>
      </c>
      <c r="G235" s="4" t="s">
        <v>17</v>
      </c>
      <c r="H235" s="6" t="s">
        <v>838</v>
      </c>
      <c r="I235" s="1">
        <v>2</v>
      </c>
      <c r="J235" s="1">
        <v>3</v>
      </c>
      <c r="K235" s="1">
        <f>Tableau1434567[[#This Row],[Fréquence]]*Tableau1434567[[#This Row],[Gravité]]</f>
        <v>6</v>
      </c>
      <c r="L235" s="4" t="s">
        <v>1007</v>
      </c>
      <c r="M235" s="1">
        <v>0.75</v>
      </c>
      <c r="N235" s="5">
        <f>Tableau1434567[[#This Row],[Priorité initiale]]*Tableau1434567[[#This Row],[Moyen de Maitrise]]</f>
        <v>4.5</v>
      </c>
      <c r="O235" s="17" t="str">
        <f>IF(AND(N235&gt;=0,N235&lt;4),"P3",IF(AND(N235&gt;=4,N235&lt;=8),"P2",IF(N235&gt;8,"P1","")))</f>
        <v>P2</v>
      </c>
      <c r="P235" s="4" t="s">
        <v>1008</v>
      </c>
    </row>
    <row r="236" spans="1:20" ht="120" x14ac:dyDescent="0.25">
      <c r="A236" s="4" t="s">
        <v>829</v>
      </c>
      <c r="B236" s="4" t="s">
        <v>830</v>
      </c>
      <c r="C236" s="4" t="s">
        <v>831</v>
      </c>
      <c r="D236" s="7">
        <v>39</v>
      </c>
      <c r="E236" s="4" t="s">
        <v>9</v>
      </c>
      <c r="F236" s="4" t="s">
        <v>8</v>
      </c>
      <c r="G236" s="4" t="s">
        <v>7</v>
      </c>
      <c r="H236" s="6" t="s">
        <v>10</v>
      </c>
      <c r="I236" s="1">
        <v>1</v>
      </c>
      <c r="J236" s="1">
        <v>4</v>
      </c>
      <c r="K236" s="1">
        <f>Tableau1434567[[#This Row],[Fréquence]]*Tableau1434567[[#This Row],[Gravité]]</f>
        <v>4</v>
      </c>
      <c r="L236" s="4" t="s">
        <v>6</v>
      </c>
      <c r="M236" s="1">
        <v>1</v>
      </c>
      <c r="N236" s="5">
        <f>Tableau1434567[[#This Row],[Priorité initiale]]*Tableau1434567[[#This Row],[Moyen de Maitrise]]</f>
        <v>4</v>
      </c>
      <c r="O236" s="17" t="str">
        <f>IF(AND(N236&gt;=0,N236&lt;4),"P3",IF(AND(N236&gt;=4,N236&lt;=8),"P2",IF(N236&gt;8,"P1","")))</f>
        <v>P2</v>
      </c>
      <c r="P236" s="4" t="s">
        <v>5</v>
      </c>
    </row>
    <row r="237" spans="1:20" ht="120" x14ac:dyDescent="0.25">
      <c r="A237" s="4" t="s">
        <v>832</v>
      </c>
      <c r="B237" s="4" t="s">
        <v>833</v>
      </c>
      <c r="C237" s="4" t="s">
        <v>834</v>
      </c>
      <c r="D237" s="7">
        <v>39</v>
      </c>
      <c r="E237" s="4" t="s">
        <v>9</v>
      </c>
      <c r="F237" s="4" t="s">
        <v>8</v>
      </c>
      <c r="G237" s="4" t="s">
        <v>7</v>
      </c>
      <c r="H237" s="6" t="s">
        <v>838</v>
      </c>
      <c r="I237" s="1">
        <v>1</v>
      </c>
      <c r="J237" s="1">
        <v>4</v>
      </c>
      <c r="K237" s="1">
        <f>Tableau1434567[[#This Row],[Fréquence]]*Tableau1434567[[#This Row],[Gravité]]</f>
        <v>4</v>
      </c>
      <c r="L237" s="4" t="s">
        <v>6</v>
      </c>
      <c r="M237" s="1">
        <v>1</v>
      </c>
      <c r="N237" s="5">
        <f>Tableau1434567[[#This Row],[Priorité initiale]]*Tableau1434567[[#This Row],[Moyen de Maitrise]]</f>
        <v>4</v>
      </c>
      <c r="O237" s="17" t="str">
        <f>IF(AND(N237&gt;=0,N237&lt;4),"P3",IF(AND(N237&gt;=4,N237&lt;=8),"P2",IF(N237&gt;8,"P1","")))</f>
        <v>P2</v>
      </c>
      <c r="P237" s="4" t="s">
        <v>5</v>
      </c>
    </row>
    <row r="238" spans="1:20" ht="330" x14ac:dyDescent="0.25">
      <c r="A238" s="4" t="s">
        <v>829</v>
      </c>
      <c r="B238" s="4" t="s">
        <v>830</v>
      </c>
      <c r="C238" s="4" t="s">
        <v>831</v>
      </c>
      <c r="D238" s="7">
        <v>28</v>
      </c>
      <c r="E238" s="4" t="s">
        <v>826</v>
      </c>
      <c r="F238" s="4" t="s">
        <v>1009</v>
      </c>
      <c r="G238" s="4" t="s">
        <v>13</v>
      </c>
      <c r="H238" s="6" t="s">
        <v>10</v>
      </c>
      <c r="I238" s="1">
        <v>3</v>
      </c>
      <c r="J238" s="1">
        <v>3</v>
      </c>
      <c r="K238" s="1">
        <f>Tableau1434567[[#This Row],[Fréquence]]*Tableau1434567[[#This Row],[Gravité]]</f>
        <v>9</v>
      </c>
      <c r="L238" s="4" t="s">
        <v>511</v>
      </c>
      <c r="M238" s="1">
        <v>0.75</v>
      </c>
      <c r="N238" s="5">
        <f>Tableau1434567[[#This Row],[Priorité initiale]]*Tableau1434567[[#This Row],[Moyen de Maitrise]]</f>
        <v>6.75</v>
      </c>
      <c r="O238" s="17" t="str">
        <f>IF(AND(N238&gt;=0,N238&lt;4),"P3",IF(AND(N238&gt;=4,N238&lt;=8),"P2",IF(N238&gt;8,"P1","")))</f>
        <v>P2</v>
      </c>
      <c r="P238" s="4" t="s">
        <v>11</v>
      </c>
    </row>
    <row r="239" spans="1:20" ht="330" x14ac:dyDescent="0.25">
      <c r="A239" s="4" t="s">
        <v>832</v>
      </c>
      <c r="B239" s="4" t="s">
        <v>833</v>
      </c>
      <c r="C239" s="4" t="s">
        <v>834</v>
      </c>
      <c r="D239" s="7">
        <v>28</v>
      </c>
      <c r="E239" s="4" t="s">
        <v>826</v>
      </c>
      <c r="F239" s="4" t="s">
        <v>1009</v>
      </c>
      <c r="G239" s="23" t="s">
        <v>13</v>
      </c>
      <c r="H239" s="26" t="s">
        <v>838</v>
      </c>
      <c r="I239" s="24">
        <v>3</v>
      </c>
      <c r="J239" s="24">
        <v>3</v>
      </c>
      <c r="K239" s="1">
        <f>Tableau1434567[[#This Row],[Fréquence]]*Tableau1434567[[#This Row],[Gravité]]</f>
        <v>9</v>
      </c>
      <c r="L239" s="23" t="s">
        <v>11</v>
      </c>
      <c r="M239" s="24">
        <v>0.75</v>
      </c>
      <c r="N239" s="5">
        <f>Tableau1434567[[#This Row],[Priorité initiale]]*Tableau1434567[[#This Row],[Moyen de Maitrise]]</f>
        <v>6.75</v>
      </c>
      <c r="O239" s="17" t="str">
        <f>IF(AND(N239&gt;=0,N239&lt;4),"P3",IF(AND(N239&gt;=4,N239&lt;=8),"P2",IF(N239&gt;8,"P1","")))</f>
        <v>P2</v>
      </c>
      <c r="P239" s="4" t="s">
        <v>511</v>
      </c>
      <c r="Q239" s="24"/>
      <c r="R239" s="24"/>
      <c r="S239" s="24"/>
      <c r="T239" s="24"/>
    </row>
    <row r="240" spans="1:20" ht="135" x14ac:dyDescent="0.25">
      <c r="A240" s="10" t="s">
        <v>305</v>
      </c>
      <c r="B240" s="10" t="s">
        <v>306</v>
      </c>
      <c r="C240" s="10" t="s">
        <v>307</v>
      </c>
      <c r="D240" s="15">
        <v>1</v>
      </c>
      <c r="E240" s="10" t="s">
        <v>246</v>
      </c>
      <c r="F240" s="10" t="s">
        <v>245</v>
      </c>
      <c r="G240" s="23" t="s">
        <v>244</v>
      </c>
      <c r="H240" s="26" t="s">
        <v>308</v>
      </c>
      <c r="I240" s="24">
        <v>1</v>
      </c>
      <c r="J240" s="24">
        <v>4</v>
      </c>
      <c r="K240" s="16">
        <f>Tableau1434567[[#This Row],[Fréquence]]*Tableau1434567[[#This Row],[Gravité]]</f>
        <v>4</v>
      </c>
      <c r="L240" s="26" t="s">
        <v>309</v>
      </c>
      <c r="M240" s="24">
        <v>0.5</v>
      </c>
      <c r="N240" s="2">
        <f>Tableau1434567[[#This Row],[Moyen de Maitrise]]*Tableau1434567[[#This Row],[Priorité initiale]]</f>
        <v>2</v>
      </c>
      <c r="O240" s="17" t="str">
        <f>IF(AND(N240&gt;=0,N240&lt;4),"P3",IF(AND(N240&gt;=4,N240&lt;=8),"P2",IF(N240&gt;8,"P1","")))</f>
        <v>P3</v>
      </c>
      <c r="P240" s="10"/>
      <c r="Q240" s="24"/>
      <c r="R240" s="28"/>
      <c r="S240" s="24"/>
      <c r="T240" s="24"/>
    </row>
    <row r="241" spans="1:20" ht="135" x14ac:dyDescent="0.25">
      <c r="A241" s="10" t="s">
        <v>490</v>
      </c>
      <c r="B241" s="10" t="s">
        <v>491</v>
      </c>
      <c r="C241" s="10" t="s">
        <v>495</v>
      </c>
      <c r="D241" s="15">
        <v>1</v>
      </c>
      <c r="E241" s="10" t="s">
        <v>246</v>
      </c>
      <c r="F241" s="10" t="s">
        <v>245</v>
      </c>
      <c r="G241" s="23" t="s">
        <v>244</v>
      </c>
      <c r="H241" s="26" t="s">
        <v>493</v>
      </c>
      <c r="I241" s="24">
        <v>1</v>
      </c>
      <c r="J241" s="24">
        <v>4</v>
      </c>
      <c r="K241" s="16">
        <f>Tableau1434567[[#This Row],[Fréquence]]*Tableau1434567[[#This Row],[Gravité]]</f>
        <v>4</v>
      </c>
      <c r="L241" s="26" t="s">
        <v>496</v>
      </c>
      <c r="M241" s="24">
        <v>0.5</v>
      </c>
      <c r="N241" s="2">
        <f>Tableau1434567[[#This Row],[Moyen de Maitrise]]*Tableau1434567[[#This Row],[Priorité initiale]]</f>
        <v>2</v>
      </c>
      <c r="O241" s="17" t="str">
        <f>IF(AND(N241&gt;=0,N241&lt;4),"P3",IF(AND(N241&gt;=4,N241&lt;=8),"P2",IF(N241&gt;8,"P1","")))</f>
        <v>P3</v>
      </c>
      <c r="P241" s="10"/>
      <c r="Q241" s="24"/>
      <c r="R241" s="24"/>
      <c r="S241" s="28">
        <v>45172</v>
      </c>
      <c r="T241" s="24"/>
    </row>
    <row r="242" spans="1:20" ht="135" x14ac:dyDescent="0.25">
      <c r="A242" s="10" t="s">
        <v>490</v>
      </c>
      <c r="B242" s="10" t="s">
        <v>491</v>
      </c>
      <c r="C242" s="10" t="s">
        <v>492</v>
      </c>
      <c r="D242" s="15">
        <v>1</v>
      </c>
      <c r="E242" s="10" t="s">
        <v>246</v>
      </c>
      <c r="F242" s="10" t="s">
        <v>245</v>
      </c>
      <c r="G242" s="23" t="s">
        <v>244</v>
      </c>
      <c r="H242" s="26" t="s">
        <v>493</v>
      </c>
      <c r="I242" s="24">
        <v>1</v>
      </c>
      <c r="J242" s="24">
        <v>4</v>
      </c>
      <c r="K242" s="16">
        <f>Tableau1434567[[#This Row],[Fréquence]]*Tableau1434567[[#This Row],[Gravité]]</f>
        <v>4</v>
      </c>
      <c r="L242" s="26" t="s">
        <v>590</v>
      </c>
      <c r="M242" s="24">
        <v>0.5</v>
      </c>
      <c r="N242" s="2">
        <f>Tableau1434567[[#This Row],[Moyen de Maitrise]]*Tableau1434567[[#This Row],[Priorité initiale]]</f>
        <v>2</v>
      </c>
      <c r="O242" s="17" t="str">
        <f>IF(AND(N242&gt;=0,N242&lt;4),"P3",IF(AND(N242&gt;=4,N242&lt;=8),"P2",IF(N242&gt;8,"P1","")))</f>
        <v>P3</v>
      </c>
      <c r="P242" s="10" t="s">
        <v>591</v>
      </c>
      <c r="Q242" s="24"/>
      <c r="R242" s="24"/>
      <c r="S242" s="28">
        <v>45172</v>
      </c>
      <c r="T242" s="24"/>
    </row>
    <row r="243" spans="1:20" ht="135" x14ac:dyDescent="0.25">
      <c r="A243" s="10" t="s">
        <v>614</v>
      </c>
      <c r="B243" s="10" t="s">
        <v>615</v>
      </c>
      <c r="C243" s="10" t="s">
        <v>668</v>
      </c>
      <c r="D243" s="15">
        <v>1</v>
      </c>
      <c r="E243" s="10" t="s">
        <v>246</v>
      </c>
      <c r="F243" s="10" t="s">
        <v>245</v>
      </c>
      <c r="G243" s="49" t="s">
        <v>244</v>
      </c>
      <c r="H243" s="50" t="s">
        <v>617</v>
      </c>
      <c r="I243" s="51">
        <v>1</v>
      </c>
      <c r="J243" s="51">
        <v>4</v>
      </c>
      <c r="K243" s="16">
        <f>Tableau1434567[[#This Row],[Fréquence]]*Tableau1434567[[#This Row],[Gravité]]</f>
        <v>4</v>
      </c>
      <c r="L243" s="50" t="s">
        <v>669</v>
      </c>
      <c r="M243" s="51">
        <v>0.5</v>
      </c>
      <c r="N243" s="2">
        <f>Tableau1434567[[#This Row],[Moyen de Maitrise]]*Tableau1434567[[#This Row],[Priorité initiale]]</f>
        <v>2</v>
      </c>
      <c r="O243" s="17" t="str">
        <f>IF(AND(N243&gt;=0,N243&lt;4),"P3",IF(AND(N243&gt;=4,N243&lt;=8),"P2",IF(N243&gt;8,"P1","")))</f>
        <v>P3</v>
      </c>
      <c r="P243" s="10"/>
      <c r="Q243" s="51"/>
      <c r="R243" s="53">
        <v>45172</v>
      </c>
      <c r="S243" s="50"/>
      <c r="T243" s="51"/>
    </row>
    <row r="244" spans="1:20" ht="135" x14ac:dyDescent="0.25">
      <c r="A244" s="10" t="s">
        <v>614</v>
      </c>
      <c r="B244" s="10" t="s">
        <v>653</v>
      </c>
      <c r="C244" s="10" t="s">
        <v>654</v>
      </c>
      <c r="D244" s="15">
        <v>1</v>
      </c>
      <c r="E244" s="10" t="s">
        <v>246</v>
      </c>
      <c r="F244" s="10" t="s">
        <v>245</v>
      </c>
      <c r="G244" s="23" t="s">
        <v>244</v>
      </c>
      <c r="H244" s="26" t="s">
        <v>655</v>
      </c>
      <c r="I244" s="24">
        <v>1</v>
      </c>
      <c r="J244" s="24">
        <v>4</v>
      </c>
      <c r="K244" s="40">
        <f>Tableau1434567[[#This Row],[Fréquence]]*Tableau1434567[[#This Row],[Gravité]]</f>
        <v>4</v>
      </c>
      <c r="L244" s="26" t="s">
        <v>715</v>
      </c>
      <c r="M244" s="24">
        <v>0.5</v>
      </c>
      <c r="N244" s="42">
        <f>Tableau1434567[[#This Row],[Moyen de Maitrise]]*Tableau1434567[[#This Row],[Priorité initiale]]</f>
        <v>2</v>
      </c>
      <c r="O244" s="17" t="str">
        <f>IF(AND(N244&gt;=0,N244&lt;4),"P3",IF(AND(N244&gt;=4,N244&lt;=8),"P2",IF(N244&gt;8,"P1","")))</f>
        <v>P3</v>
      </c>
      <c r="P244" s="10" t="s">
        <v>247</v>
      </c>
      <c r="Q244" s="24"/>
      <c r="R244" s="28"/>
      <c r="S244" s="26"/>
      <c r="T244" s="24"/>
    </row>
    <row r="245" spans="1:20" ht="135" x14ac:dyDescent="0.25">
      <c r="A245" s="10" t="s">
        <v>751</v>
      </c>
      <c r="B245" s="10" t="s">
        <v>752</v>
      </c>
      <c r="C245" s="10" t="s">
        <v>779</v>
      </c>
      <c r="D245" s="15">
        <v>1</v>
      </c>
      <c r="E245" s="10" t="s">
        <v>246</v>
      </c>
      <c r="F245" s="10" t="s">
        <v>245</v>
      </c>
      <c r="G245" s="23" t="s">
        <v>244</v>
      </c>
      <c r="H245" s="26" t="s">
        <v>755</v>
      </c>
      <c r="I245" s="24">
        <v>1</v>
      </c>
      <c r="J245" s="24">
        <v>4</v>
      </c>
      <c r="K245" s="32">
        <f>I245*J245</f>
        <v>4</v>
      </c>
      <c r="L245" s="26" t="s">
        <v>798</v>
      </c>
      <c r="M245" s="24">
        <v>0.5</v>
      </c>
      <c r="N245" s="21">
        <f>K245*M245</f>
        <v>2</v>
      </c>
      <c r="O245" s="17" t="str">
        <f>IF(AND(N245&gt;=0,N245&lt;4),"P3",IF(AND(N245&gt;=4,N245&lt;=8),"P2",IF(N245&gt;8,"P1","")))</f>
        <v>P3</v>
      </c>
      <c r="P245" s="10" t="s">
        <v>799</v>
      </c>
      <c r="Q245" s="26"/>
      <c r="R245" s="24"/>
      <c r="S245" s="28"/>
      <c r="T245" s="26"/>
    </row>
    <row r="246" spans="1:20" ht="135" x14ac:dyDescent="0.25">
      <c r="A246" s="10" t="s">
        <v>751</v>
      </c>
      <c r="B246" s="10" t="s">
        <v>752</v>
      </c>
      <c r="C246" s="10" t="s">
        <v>753</v>
      </c>
      <c r="D246" s="15">
        <v>1</v>
      </c>
      <c r="E246" s="10" t="s">
        <v>246</v>
      </c>
      <c r="F246" s="10" t="s">
        <v>245</v>
      </c>
      <c r="G246" s="19" t="s">
        <v>244</v>
      </c>
      <c r="H246" s="25" t="s">
        <v>755</v>
      </c>
      <c r="I246" s="20">
        <v>1</v>
      </c>
      <c r="J246" s="20">
        <v>4</v>
      </c>
      <c r="K246" s="32">
        <f>I246*J246</f>
        <v>4</v>
      </c>
      <c r="L246" s="25" t="s">
        <v>774</v>
      </c>
      <c r="M246" s="20">
        <v>0.5</v>
      </c>
      <c r="N246" s="21">
        <f>K246*M246</f>
        <v>2</v>
      </c>
      <c r="O246" s="17" t="str">
        <f>IF(AND(N246&gt;=0,N246&lt;4),"P3",IF(AND(N246&gt;=4,N246&lt;=8),"P2",IF(N246&gt;8,"P1","")))</f>
        <v>P3</v>
      </c>
      <c r="P246" s="10"/>
      <c r="Q246" s="25"/>
      <c r="R246" s="20"/>
      <c r="S246" s="27">
        <v>45172</v>
      </c>
      <c r="T246" s="25"/>
    </row>
    <row r="247" spans="1:20" ht="90" x14ac:dyDescent="0.25">
      <c r="A247" s="10" t="s">
        <v>305</v>
      </c>
      <c r="B247" s="10" t="s">
        <v>306</v>
      </c>
      <c r="C247" s="10" t="s">
        <v>307</v>
      </c>
      <c r="D247" s="15">
        <v>2</v>
      </c>
      <c r="E247" s="10" t="s">
        <v>762</v>
      </c>
      <c r="F247" s="10" t="s">
        <v>463</v>
      </c>
      <c r="G247" s="23" t="s">
        <v>18</v>
      </c>
      <c r="H247" s="26" t="s">
        <v>308</v>
      </c>
      <c r="I247" s="24">
        <v>3</v>
      </c>
      <c r="J247" s="24">
        <v>2</v>
      </c>
      <c r="K247" s="40">
        <f>Tableau1434567[[#This Row],[Fréquence]]*Tableau1434567[[#This Row],[Gravité]]</f>
        <v>6</v>
      </c>
      <c r="L247" s="26" t="s">
        <v>464</v>
      </c>
      <c r="M247" s="24">
        <v>0.5</v>
      </c>
      <c r="N247" s="42">
        <f>Tableau1434567[[#This Row],[Priorité initiale]]*Tableau1434567[[#This Row],[Moyen de Maitrise]]</f>
        <v>3</v>
      </c>
      <c r="O247" s="17" t="str">
        <f>IF(AND(N247&gt;=0,N247&lt;4),"P3",IF(AND(N247&gt;=4,N247&lt;=8),"P2",IF(N247&gt;8,"P1","")))</f>
        <v>P3</v>
      </c>
      <c r="P247" s="10"/>
      <c r="Q247" s="24"/>
      <c r="R247" s="24"/>
      <c r="S247" s="24"/>
      <c r="T247" s="24"/>
    </row>
    <row r="248" spans="1:20" ht="120" x14ac:dyDescent="0.25">
      <c r="A248" s="10" t="s">
        <v>490</v>
      </c>
      <c r="B248" s="10" t="s">
        <v>491</v>
      </c>
      <c r="C248" s="10" t="s">
        <v>492</v>
      </c>
      <c r="D248" s="15">
        <v>2</v>
      </c>
      <c r="E248" s="10" t="s">
        <v>762</v>
      </c>
      <c r="F248" s="10" t="s">
        <v>463</v>
      </c>
      <c r="G248" s="23" t="s">
        <v>18</v>
      </c>
      <c r="H248" s="26" t="s">
        <v>493</v>
      </c>
      <c r="I248" s="24">
        <v>2</v>
      </c>
      <c r="J248" s="24">
        <v>3</v>
      </c>
      <c r="K248" s="40">
        <f>Tableau1434567[[#This Row],[Fréquence]]*Tableau1434567[[#This Row],[Gravité]]</f>
        <v>6</v>
      </c>
      <c r="L248" s="26" t="s">
        <v>579</v>
      </c>
      <c r="M248" s="24">
        <v>0.5</v>
      </c>
      <c r="N248" s="42">
        <f>Tableau1434567[[#This Row],[Moyen de Maitrise]]*Tableau1434567[[#This Row],[Priorité initiale]]</f>
        <v>3</v>
      </c>
      <c r="O248" s="17" t="str">
        <f>IF(AND(N248&gt;=0,N248&lt;4),"P3",IF(AND(N248&gt;=4,N248&lt;=8),"P2",IF(N248&gt;8,"P1","")))</f>
        <v>P3</v>
      </c>
      <c r="P248" s="10" t="s">
        <v>580</v>
      </c>
      <c r="Q248" s="24"/>
      <c r="R248" s="24"/>
      <c r="S248" s="28"/>
      <c r="T248" s="24"/>
    </row>
    <row r="249" spans="1:20" ht="45" x14ac:dyDescent="0.25">
      <c r="A249" s="10" t="s">
        <v>614</v>
      </c>
      <c r="B249" s="10" t="s">
        <v>615</v>
      </c>
      <c r="C249" s="10" t="s">
        <v>616</v>
      </c>
      <c r="D249" s="15">
        <v>2</v>
      </c>
      <c r="E249" s="10" t="s">
        <v>762</v>
      </c>
      <c r="F249" s="10" t="s">
        <v>463</v>
      </c>
      <c r="G249" s="23" t="s">
        <v>737</v>
      </c>
      <c r="H249" s="26" t="s">
        <v>617</v>
      </c>
      <c r="I249" s="24">
        <v>1</v>
      </c>
      <c r="J249" s="24">
        <v>3</v>
      </c>
      <c r="K249" s="40">
        <f>Tableau1434567[[#This Row],[Fréquence]]*Tableau1434567[[#This Row],[Gravité]]</f>
        <v>3</v>
      </c>
      <c r="L249" s="26" t="s">
        <v>738</v>
      </c>
      <c r="M249" s="24">
        <v>0.5</v>
      </c>
      <c r="N249" s="42">
        <f>Tableau1434567[[#This Row],[Moyen de Maitrise]]*Tableau1434567[[#This Row],[Priorité initiale]]</f>
        <v>1.5</v>
      </c>
      <c r="O249" s="17" t="str">
        <f>IF(AND(N249&gt;=0,N249&lt;4),"P3",IF(AND(N249&gt;=4,N249&lt;=8),"P2",IF(N249&gt;8,"P1","")))</f>
        <v>P3</v>
      </c>
      <c r="P249" s="10"/>
      <c r="Q249" s="24"/>
      <c r="R249" s="28"/>
      <c r="S249" s="24"/>
      <c r="T249" s="24"/>
    </row>
    <row r="250" spans="1:20" ht="90" x14ac:dyDescent="0.25">
      <c r="A250" s="10" t="s">
        <v>751</v>
      </c>
      <c r="B250" s="10" t="s">
        <v>752</v>
      </c>
      <c r="C250" s="10" t="s">
        <v>753</v>
      </c>
      <c r="D250" s="15">
        <v>2</v>
      </c>
      <c r="E250" s="10" t="s">
        <v>762</v>
      </c>
      <c r="F250" s="10" t="s">
        <v>463</v>
      </c>
      <c r="G250" s="19" t="s">
        <v>18</v>
      </c>
      <c r="H250" s="25" t="s">
        <v>755</v>
      </c>
      <c r="I250" s="20">
        <v>3</v>
      </c>
      <c r="J250" s="20">
        <v>2</v>
      </c>
      <c r="K250" s="32">
        <f>I250*J250</f>
        <v>6</v>
      </c>
      <c r="L250" s="25" t="s">
        <v>783</v>
      </c>
      <c r="M250" s="20">
        <v>0.5</v>
      </c>
      <c r="N250" s="21">
        <f>K250*M250</f>
        <v>3</v>
      </c>
      <c r="O250" s="17" t="str">
        <f>IF(AND(N250&gt;=0,N250&lt;4),"P3",IF(AND(N250&gt;=4,N250&lt;=8),"P2",IF(N250&gt;8,"P1","")))</f>
        <v>P3</v>
      </c>
      <c r="P250" s="10" t="s">
        <v>784</v>
      </c>
      <c r="Q250" s="22">
        <v>46090</v>
      </c>
      <c r="R250" s="20"/>
      <c r="S250" s="27"/>
      <c r="T250" s="20"/>
    </row>
    <row r="251" spans="1:20" ht="90" x14ac:dyDescent="0.25">
      <c r="A251" s="10" t="s">
        <v>614</v>
      </c>
      <c r="B251" s="10" t="s">
        <v>615</v>
      </c>
      <c r="C251" s="10" t="s">
        <v>616</v>
      </c>
      <c r="D251" s="15">
        <v>2</v>
      </c>
      <c r="E251" s="10" t="s">
        <v>762</v>
      </c>
      <c r="F251" s="10" t="s">
        <v>647</v>
      </c>
      <c r="G251" s="4" t="s">
        <v>729</v>
      </c>
      <c r="H251" s="26" t="s">
        <v>617</v>
      </c>
      <c r="I251" s="24">
        <v>1</v>
      </c>
      <c r="J251" s="24">
        <v>4</v>
      </c>
      <c r="K251" s="40">
        <f>Tableau1434567[[#This Row],[Fréquence]]*Tableau1434567[[#This Row],[Gravité]]</f>
        <v>4</v>
      </c>
      <c r="L251" s="26" t="s">
        <v>730</v>
      </c>
      <c r="M251" s="24">
        <v>0.5</v>
      </c>
      <c r="N251" s="42">
        <f>Tableau1434567[[#This Row],[Moyen de Maitrise]]*Tableau1434567[[#This Row],[Priorité initiale]]</f>
        <v>2</v>
      </c>
      <c r="O251" s="17" t="str">
        <f>IF(AND(N251&gt;=0,N251&lt;4),"P3",IF(AND(N251&gt;=4,N251&lt;=8),"P2",IF(N251&gt;8,"P1","")))</f>
        <v>P3</v>
      </c>
      <c r="P251" s="10" t="s">
        <v>731</v>
      </c>
      <c r="Q251" s="24"/>
      <c r="R251" s="28"/>
      <c r="S251" s="24"/>
      <c r="T251" s="24"/>
    </row>
    <row r="252" spans="1:20" ht="120" x14ac:dyDescent="0.25">
      <c r="A252" s="10" t="s">
        <v>490</v>
      </c>
      <c r="B252" s="10" t="s">
        <v>491</v>
      </c>
      <c r="C252" s="10" t="s">
        <v>492</v>
      </c>
      <c r="D252" s="15">
        <v>2</v>
      </c>
      <c r="E252" s="10" t="s">
        <v>762</v>
      </c>
      <c r="F252" s="4" t="s">
        <v>819</v>
      </c>
      <c r="G252" s="23" t="s">
        <v>23</v>
      </c>
      <c r="H252" s="26" t="s">
        <v>493</v>
      </c>
      <c r="I252" s="24">
        <v>2</v>
      </c>
      <c r="J252" s="24">
        <v>3</v>
      </c>
      <c r="K252" s="40">
        <f>Tableau1434567[[#This Row],[Fréquence]]*Tableau1434567[[#This Row],[Gravité]]</f>
        <v>6</v>
      </c>
      <c r="L252" s="26" t="s">
        <v>581</v>
      </c>
      <c r="M252" s="24">
        <v>0.5</v>
      </c>
      <c r="N252" s="42">
        <f>Tableau1434567[[#This Row],[Moyen de Maitrise]]*Tableau1434567[[#This Row],[Priorité initiale]]</f>
        <v>3</v>
      </c>
      <c r="O252" s="17" t="str">
        <f>IF(AND(N252&gt;=0,N252&lt;4),"P3",IF(AND(N252&gt;=4,N252&lt;=8),"P2",IF(N252&gt;8,"P1","")))</f>
        <v>P3</v>
      </c>
      <c r="P252" s="10" t="s">
        <v>582</v>
      </c>
      <c r="Q252" s="24"/>
      <c r="R252" s="24"/>
      <c r="S252" s="28"/>
      <c r="T252" s="24"/>
    </row>
    <row r="253" spans="1:20" ht="45" x14ac:dyDescent="0.25">
      <c r="A253" s="10" t="s">
        <v>490</v>
      </c>
      <c r="B253" s="10" t="s">
        <v>491</v>
      </c>
      <c r="C253" s="10" t="s">
        <v>492</v>
      </c>
      <c r="D253" s="15">
        <v>2</v>
      </c>
      <c r="E253" s="10" t="s">
        <v>762</v>
      </c>
      <c r="F253" s="10" t="s">
        <v>22</v>
      </c>
      <c r="G253" s="23" t="s">
        <v>527</v>
      </c>
      <c r="H253" s="26" t="s">
        <v>493</v>
      </c>
      <c r="I253" s="24">
        <v>1</v>
      </c>
      <c r="J253" s="24">
        <v>4</v>
      </c>
      <c r="K253" s="40">
        <f>Tableau1434567[[#This Row],[Fréquence]]*Tableau1434567[[#This Row],[Gravité]]</f>
        <v>4</v>
      </c>
      <c r="L253" s="26" t="s">
        <v>528</v>
      </c>
      <c r="M253" s="24">
        <v>0.5</v>
      </c>
      <c r="N253" s="42">
        <f>Tableau1434567[[#This Row],[Moyen de Maitrise]]*Tableau1434567[[#This Row],[Priorité initiale]]</f>
        <v>2</v>
      </c>
      <c r="O253" s="17" t="str">
        <f>IF(AND(N253&gt;=0,N253&lt;4),"P3",IF(AND(N253&gt;=4,N253&lt;=8),"P2",IF(N253&gt;8,"P1","")))</f>
        <v>P3</v>
      </c>
      <c r="P253" s="10"/>
      <c r="Q253" s="24"/>
      <c r="R253" s="31">
        <v>46090</v>
      </c>
      <c r="S253" s="28"/>
      <c r="T253" s="24"/>
    </row>
    <row r="254" spans="1:20" ht="45" x14ac:dyDescent="0.25">
      <c r="A254" s="10" t="s">
        <v>305</v>
      </c>
      <c r="B254" s="10" t="s">
        <v>306</v>
      </c>
      <c r="C254" s="10" t="s">
        <v>307</v>
      </c>
      <c r="D254" s="15">
        <v>2</v>
      </c>
      <c r="E254" s="10" t="s">
        <v>762</v>
      </c>
      <c r="F254" s="10" t="s">
        <v>465</v>
      </c>
      <c r="G254" s="23" t="s">
        <v>466</v>
      </c>
      <c r="H254" s="26" t="s">
        <v>308</v>
      </c>
      <c r="I254" s="24">
        <v>2</v>
      </c>
      <c r="J254" s="24">
        <v>2</v>
      </c>
      <c r="K254" s="40">
        <f>Tableau1434567[[#This Row],[Fréquence]]*Tableau1434567[[#This Row],[Gravité]]</f>
        <v>4</v>
      </c>
      <c r="L254" s="26" t="s">
        <v>467</v>
      </c>
      <c r="M254" s="24">
        <v>0.5</v>
      </c>
      <c r="N254" s="42">
        <f>Tableau1434567[[#This Row],[Priorité initiale]]*Tableau1434567[[#This Row],[Moyen de Maitrise]]</f>
        <v>2</v>
      </c>
      <c r="O254" s="17" t="str">
        <f>IF(AND(N254&gt;=0,N254&lt;4),"P3",IF(AND(N254&gt;=4,N254&lt;=8),"P2",IF(N254&gt;8,"P1","")))</f>
        <v>P3</v>
      </c>
      <c r="P254" s="10"/>
      <c r="Q254" s="24"/>
      <c r="R254" s="28"/>
      <c r="S254" s="24"/>
      <c r="T254" s="24"/>
    </row>
    <row r="255" spans="1:20" ht="60" x14ac:dyDescent="0.25">
      <c r="A255" s="10" t="s">
        <v>305</v>
      </c>
      <c r="B255" s="10" t="s">
        <v>306</v>
      </c>
      <c r="C255" s="10" t="s">
        <v>307</v>
      </c>
      <c r="D255" s="15">
        <v>3</v>
      </c>
      <c r="E255" s="10" t="s">
        <v>232</v>
      </c>
      <c r="F255" s="4" t="s">
        <v>236</v>
      </c>
      <c r="G255" s="23" t="s">
        <v>310</v>
      </c>
      <c r="H255" s="26" t="s">
        <v>308</v>
      </c>
      <c r="I255" s="24">
        <v>1</v>
      </c>
      <c r="J255" s="24">
        <v>4</v>
      </c>
      <c r="K255" s="40">
        <f>Tableau1434567[[#This Row],[Fréquence]]*Tableau1434567[[#This Row],[Gravité]]</f>
        <v>4</v>
      </c>
      <c r="L255" s="26" t="s">
        <v>311</v>
      </c>
      <c r="M255" s="24">
        <v>0.5</v>
      </c>
      <c r="N255" s="42">
        <f>Tableau1434567[[#This Row],[Moyen de Maitrise]]*Tableau1434567[[#This Row],[Priorité initiale]]</f>
        <v>2</v>
      </c>
      <c r="O255" s="17" t="str">
        <f>IF(AND(N255&gt;=0,N255&lt;4),"P3",IF(AND(N255&gt;=4,N255&lt;=8),"P2",IF(N255&gt;8,"P1","")))</f>
        <v>P3</v>
      </c>
      <c r="P255" s="10"/>
      <c r="Q255" s="24"/>
      <c r="R255" s="28"/>
      <c r="S255" s="24"/>
      <c r="T255" s="24"/>
    </row>
    <row r="256" spans="1:20" ht="120" x14ac:dyDescent="0.25">
      <c r="A256" s="10" t="s">
        <v>305</v>
      </c>
      <c r="B256" s="10" t="s">
        <v>306</v>
      </c>
      <c r="C256" s="10" t="s">
        <v>307</v>
      </c>
      <c r="D256" s="15">
        <v>3</v>
      </c>
      <c r="E256" s="10" t="s">
        <v>232</v>
      </c>
      <c r="F256" s="10" t="s">
        <v>312</v>
      </c>
      <c r="G256" s="4" t="s">
        <v>313</v>
      </c>
      <c r="H256" s="26" t="s">
        <v>308</v>
      </c>
      <c r="I256" s="24">
        <v>2</v>
      </c>
      <c r="J256" s="24">
        <v>3</v>
      </c>
      <c r="K256" s="40">
        <f>Tableau1434567[[#This Row],[Fréquence]]*Tableau1434567[[#This Row],[Gravité]]</f>
        <v>6</v>
      </c>
      <c r="L256" s="26" t="s">
        <v>314</v>
      </c>
      <c r="M256" s="24">
        <v>0.5</v>
      </c>
      <c r="N256" s="42">
        <f>Tableau1434567[[#This Row],[Moyen de Maitrise]]*Tableau1434567[[#This Row],[Priorité initiale]]</f>
        <v>3</v>
      </c>
      <c r="O256" s="17" t="str">
        <f>IF(AND(N256&gt;=0,N256&lt;4),"P3",IF(AND(N256&gt;=4,N256&lt;=8),"P2",IF(N256&gt;8,"P1","")))</f>
        <v>P3</v>
      </c>
      <c r="P256" s="10"/>
      <c r="Q256" s="24"/>
      <c r="R256" s="24"/>
      <c r="S256" s="24"/>
      <c r="T256" s="24"/>
    </row>
    <row r="257" spans="1:20" ht="90" x14ac:dyDescent="0.25">
      <c r="A257" s="10" t="s">
        <v>305</v>
      </c>
      <c r="B257" s="10" t="s">
        <v>306</v>
      </c>
      <c r="C257" s="10" t="s">
        <v>307</v>
      </c>
      <c r="D257" s="15">
        <v>3</v>
      </c>
      <c r="E257" s="10" t="s">
        <v>232</v>
      </c>
      <c r="F257" s="10" t="s">
        <v>319</v>
      </c>
      <c r="G257" s="23" t="s">
        <v>320</v>
      </c>
      <c r="H257" s="26" t="s">
        <v>308</v>
      </c>
      <c r="I257" s="24">
        <v>1</v>
      </c>
      <c r="J257" s="24">
        <v>1</v>
      </c>
      <c r="K257" s="40">
        <f>Tableau1434567[[#This Row],[Fréquence]]*Tableau1434567[[#This Row],[Gravité]]</f>
        <v>1</v>
      </c>
      <c r="L257" s="26" t="s">
        <v>321</v>
      </c>
      <c r="M257" s="24">
        <v>0.5</v>
      </c>
      <c r="N257" s="42">
        <f>Tableau1434567[[#This Row],[Moyen de Maitrise]]*Tableau1434567[[#This Row],[Priorité initiale]]</f>
        <v>0.5</v>
      </c>
      <c r="O257" s="17" t="str">
        <f>IF(AND(N257&gt;=0,N257&lt;4),"P3",IF(AND(N257&gt;=4,N257&lt;=8),"P2",IF(N257&gt;8,"P1","")))</f>
        <v>P3</v>
      </c>
      <c r="P257" s="10" t="s">
        <v>322</v>
      </c>
      <c r="Q257" s="24"/>
      <c r="R257" s="28"/>
      <c r="S257" s="24"/>
      <c r="T257" s="24"/>
    </row>
    <row r="258" spans="1:20" ht="60" x14ac:dyDescent="0.25">
      <c r="A258" s="10" t="s">
        <v>490</v>
      </c>
      <c r="B258" s="10" t="s">
        <v>491</v>
      </c>
      <c r="C258" s="10" t="s">
        <v>492</v>
      </c>
      <c r="D258" s="15">
        <v>3</v>
      </c>
      <c r="E258" s="10" t="s">
        <v>232</v>
      </c>
      <c r="F258" s="10" t="s">
        <v>240</v>
      </c>
      <c r="G258" s="23" t="s">
        <v>239</v>
      </c>
      <c r="H258" s="26" t="s">
        <v>493</v>
      </c>
      <c r="I258" s="24">
        <v>1</v>
      </c>
      <c r="J258" s="24">
        <v>3</v>
      </c>
      <c r="K258" s="40">
        <f>Tableau1434567[[#This Row],[Fréquence]]*Tableau1434567[[#This Row],[Gravité]]</f>
        <v>3</v>
      </c>
      <c r="L258" s="26" t="s">
        <v>610</v>
      </c>
      <c r="M258" s="24">
        <v>0.5</v>
      </c>
      <c r="N258" s="42">
        <f>Tableau1434567[[#This Row],[Moyen de Maitrise]]*Tableau1434567[[#This Row],[Priorité initiale]]</f>
        <v>1.5</v>
      </c>
      <c r="O258" s="17" t="str">
        <f>IF(AND(N258&gt;=0,N258&lt;4),"P3",IF(AND(N258&gt;=4,N258&lt;=8),"P2",IF(N258&gt;8,"P1","")))</f>
        <v>P3</v>
      </c>
      <c r="P258" s="10"/>
      <c r="Q258" s="24"/>
      <c r="R258" s="24"/>
      <c r="S258" s="28"/>
      <c r="T258" s="24"/>
    </row>
    <row r="259" spans="1:20" ht="75" x14ac:dyDescent="0.25">
      <c r="A259" s="10" t="s">
        <v>751</v>
      </c>
      <c r="B259" s="10" t="s">
        <v>752</v>
      </c>
      <c r="C259" s="10" t="s">
        <v>779</v>
      </c>
      <c r="D259" s="15">
        <v>3</v>
      </c>
      <c r="E259" s="10" t="s">
        <v>232</v>
      </c>
      <c r="F259" s="10" t="s">
        <v>623</v>
      </c>
      <c r="G259" s="19" t="s">
        <v>787</v>
      </c>
      <c r="H259" s="25" t="s">
        <v>755</v>
      </c>
      <c r="I259" s="20">
        <v>1</v>
      </c>
      <c r="J259" s="20">
        <v>4</v>
      </c>
      <c r="K259" s="32">
        <f>I259*J259</f>
        <v>4</v>
      </c>
      <c r="L259" s="25" t="s">
        <v>788</v>
      </c>
      <c r="M259" s="20">
        <v>0.75</v>
      </c>
      <c r="N259" s="21">
        <f>K259*M259</f>
        <v>3</v>
      </c>
      <c r="O259" s="17" t="str">
        <f>IF(AND(N259&gt;=0,N259&lt;4),"P3",IF(AND(N259&gt;=4,N259&lt;=8),"P2",IF(N259&gt;8,"P1","")))</f>
        <v>P3</v>
      </c>
      <c r="P259" s="10" t="s">
        <v>677</v>
      </c>
      <c r="Q259" s="25"/>
      <c r="R259" s="20"/>
      <c r="S259" s="27"/>
      <c r="T259" s="20"/>
    </row>
    <row r="260" spans="1:20" ht="165" x14ac:dyDescent="0.25">
      <c r="A260" s="10" t="s">
        <v>490</v>
      </c>
      <c r="B260" s="10" t="s">
        <v>491</v>
      </c>
      <c r="C260" s="10" t="s">
        <v>492</v>
      </c>
      <c r="D260" s="15">
        <v>4</v>
      </c>
      <c r="E260" s="10" t="s">
        <v>217</v>
      </c>
      <c r="F260" s="10" t="s">
        <v>219</v>
      </c>
      <c r="G260" s="23" t="s">
        <v>218</v>
      </c>
      <c r="H260" s="26" t="s">
        <v>493</v>
      </c>
      <c r="I260" s="24">
        <v>1</v>
      </c>
      <c r="J260" s="24">
        <v>3</v>
      </c>
      <c r="K260" s="40">
        <f>Tableau1434567[[#This Row],[Fréquence]]*Tableau1434567[[#This Row],[Gravité]]</f>
        <v>3</v>
      </c>
      <c r="L260" s="26" t="s">
        <v>583</v>
      </c>
      <c r="M260" s="24">
        <v>0.75</v>
      </c>
      <c r="N260" s="42">
        <f>Tableau1434567[[#This Row],[Moyen de Maitrise]]*Tableau1434567[[#This Row],[Priorité initiale]]</f>
        <v>2.25</v>
      </c>
      <c r="O260" s="17" t="str">
        <f>IF(AND(N260&gt;=0,N260&lt;4),"P3",IF(AND(N260&gt;=4,N260&lt;=8),"P2",IF(N260&gt;8,"P1","")))</f>
        <v>P3</v>
      </c>
      <c r="P260" s="10" t="s">
        <v>584</v>
      </c>
      <c r="Q260" s="24"/>
      <c r="R260" s="24"/>
      <c r="S260" s="28"/>
      <c r="T260" s="24"/>
    </row>
    <row r="261" spans="1:20" ht="30" x14ac:dyDescent="0.25">
      <c r="A261" s="10" t="s">
        <v>305</v>
      </c>
      <c r="B261" s="10" t="s">
        <v>306</v>
      </c>
      <c r="C261" s="10" t="s">
        <v>307</v>
      </c>
      <c r="D261" s="15">
        <v>5</v>
      </c>
      <c r="E261" s="10" t="s">
        <v>209</v>
      </c>
      <c r="F261" s="10" t="s">
        <v>331</v>
      </c>
      <c r="G261" s="23" t="s">
        <v>327</v>
      </c>
      <c r="H261" s="26" t="s">
        <v>308</v>
      </c>
      <c r="I261" s="24">
        <v>2</v>
      </c>
      <c r="J261" s="24">
        <v>3</v>
      </c>
      <c r="K261" s="40">
        <f>Tableau1434567[[#This Row],[Fréquence]]*Tableau1434567[[#This Row],[Gravité]]</f>
        <v>6</v>
      </c>
      <c r="L261" s="26" t="s">
        <v>332</v>
      </c>
      <c r="M261" s="24">
        <v>0.5</v>
      </c>
      <c r="N261" s="42">
        <f>Tableau1434567[[#This Row],[Priorité initiale]]*Tableau1434567[[#This Row],[Moyen de Maitrise]]</f>
        <v>3</v>
      </c>
      <c r="O261" s="17" t="str">
        <f>IF(AND(N261&gt;=0,N261&lt;4),"P3",IF(AND(N261&gt;=4,N261&lt;=8),"P2",IF(N261&gt;8,"P1","")))</f>
        <v>P3</v>
      </c>
      <c r="P261" s="10"/>
      <c r="Q261" s="31"/>
      <c r="R261" s="24"/>
      <c r="S261" s="24"/>
      <c r="T261" s="24"/>
    </row>
    <row r="262" spans="1:20" ht="30" x14ac:dyDescent="0.25">
      <c r="A262" s="10" t="s">
        <v>305</v>
      </c>
      <c r="B262" s="10" t="s">
        <v>306</v>
      </c>
      <c r="C262" s="10" t="s">
        <v>307</v>
      </c>
      <c r="D262" s="15">
        <v>5</v>
      </c>
      <c r="E262" s="10" t="s">
        <v>209</v>
      </c>
      <c r="F262" s="10" t="s">
        <v>333</v>
      </c>
      <c r="G262" s="23" t="s">
        <v>327</v>
      </c>
      <c r="H262" s="26" t="s">
        <v>308</v>
      </c>
      <c r="I262" s="24">
        <v>1</v>
      </c>
      <c r="J262" s="24">
        <v>3</v>
      </c>
      <c r="K262" s="40">
        <f>Tableau1434567[[#This Row],[Fréquence]]*Tableau1434567[[#This Row],[Gravité]]</f>
        <v>3</v>
      </c>
      <c r="L262" s="26" t="s">
        <v>334</v>
      </c>
      <c r="M262" s="24">
        <v>0.5</v>
      </c>
      <c r="N262" s="42">
        <f>Tableau1434567[[#This Row],[Priorité initiale]]*Tableau1434567[[#This Row],[Moyen de Maitrise]]</f>
        <v>1.5</v>
      </c>
      <c r="O262" s="17" t="str">
        <f>IF(AND(N262&gt;=0,N262&lt;4),"P3",IF(AND(N262&gt;=4,N262&lt;=8),"P2",IF(N262&gt;8,"P1","")))</f>
        <v>P3</v>
      </c>
      <c r="P262" s="10"/>
      <c r="Q262" s="31"/>
      <c r="R262" s="28"/>
      <c r="S262" s="24"/>
      <c r="T262" s="24"/>
    </row>
    <row r="263" spans="1:20" ht="30" x14ac:dyDescent="0.25">
      <c r="A263" s="10" t="s">
        <v>490</v>
      </c>
      <c r="B263" s="10" t="s">
        <v>491</v>
      </c>
      <c r="C263" s="10" t="s">
        <v>500</v>
      </c>
      <c r="D263" s="15">
        <v>5</v>
      </c>
      <c r="E263" s="10" t="s">
        <v>209</v>
      </c>
      <c r="F263" s="10" t="s">
        <v>326</v>
      </c>
      <c r="G263" s="23" t="s">
        <v>561</v>
      </c>
      <c r="H263" s="26" t="s">
        <v>493</v>
      </c>
      <c r="I263" s="24">
        <v>2</v>
      </c>
      <c r="J263" s="24">
        <v>3</v>
      </c>
      <c r="K263" s="40">
        <f>Tableau1434567[[#This Row],[Fréquence]]*Tableau1434567[[#This Row],[Gravité]]</f>
        <v>6</v>
      </c>
      <c r="L263" s="26" t="s">
        <v>562</v>
      </c>
      <c r="M263" s="24">
        <v>0.5</v>
      </c>
      <c r="N263" s="42">
        <f>Tableau1434567[[#This Row],[Moyen de Maitrise]]*Tableau1434567[[#This Row],[Priorité initiale]]</f>
        <v>3</v>
      </c>
      <c r="O263" s="17" t="str">
        <f>IF(AND(N263&gt;=0,N263&lt;4),"P3",IF(AND(N263&gt;=4,N263&lt;=8),"P2",IF(N263&gt;8,"P1","")))</f>
        <v>P3</v>
      </c>
      <c r="P263" s="10" t="s">
        <v>563</v>
      </c>
      <c r="Q263" s="24"/>
      <c r="R263" s="24"/>
      <c r="S263" s="24"/>
      <c r="T263" s="24"/>
    </row>
    <row r="264" spans="1:20" ht="60" x14ac:dyDescent="0.25">
      <c r="A264" s="10" t="s">
        <v>490</v>
      </c>
      <c r="B264" s="10" t="s">
        <v>491</v>
      </c>
      <c r="C264" s="10" t="s">
        <v>492</v>
      </c>
      <c r="D264" s="15">
        <v>5</v>
      </c>
      <c r="E264" s="10" t="s">
        <v>209</v>
      </c>
      <c r="F264" s="10" t="s">
        <v>564</v>
      </c>
      <c r="G264" s="23" t="s">
        <v>561</v>
      </c>
      <c r="H264" s="26" t="s">
        <v>493</v>
      </c>
      <c r="I264" s="24">
        <v>2</v>
      </c>
      <c r="J264" s="24">
        <v>3</v>
      </c>
      <c r="K264" s="40">
        <f>Tableau1434567[[#This Row],[Fréquence]]*Tableau1434567[[#This Row],[Gravité]]</f>
        <v>6</v>
      </c>
      <c r="L264" s="26" t="s">
        <v>565</v>
      </c>
      <c r="M264" s="24">
        <v>0.5</v>
      </c>
      <c r="N264" s="42">
        <f>Tableau1434567[[#This Row],[Moyen de Maitrise]]*Tableau1434567[[#This Row],[Priorité initiale]]</f>
        <v>3</v>
      </c>
      <c r="O264" s="17" t="str">
        <f>IF(AND(N264&gt;=0,N264&lt;4),"P3",IF(AND(N264&gt;=4,N264&lt;=8),"P2",IF(N264&gt;8,"P1","")))</f>
        <v>P3</v>
      </c>
      <c r="P264" s="10"/>
      <c r="Q264" s="24"/>
      <c r="R264" s="24"/>
      <c r="S264" s="24"/>
      <c r="T264" s="24"/>
    </row>
    <row r="265" spans="1:20" ht="45" x14ac:dyDescent="0.25">
      <c r="A265" s="10" t="s">
        <v>614</v>
      </c>
      <c r="B265" s="10" t="s">
        <v>615</v>
      </c>
      <c r="C265" s="10" t="s">
        <v>616</v>
      </c>
      <c r="D265" s="15">
        <v>5</v>
      </c>
      <c r="E265" s="10" t="s">
        <v>209</v>
      </c>
      <c r="F265" s="10" t="s">
        <v>689</v>
      </c>
      <c r="G265" s="23" t="s">
        <v>348</v>
      </c>
      <c r="H265" s="26" t="s">
        <v>617</v>
      </c>
      <c r="I265" s="24">
        <v>2</v>
      </c>
      <c r="J265" s="24">
        <v>3</v>
      </c>
      <c r="K265" s="40">
        <f>Tableau1434567[[#This Row],[Fréquence]]*Tableau1434567[[#This Row],[Gravité]]</f>
        <v>6</v>
      </c>
      <c r="L265" s="26" t="s">
        <v>690</v>
      </c>
      <c r="M265" s="24">
        <v>0.5</v>
      </c>
      <c r="N265" s="42">
        <f>Tableau1434567[[#This Row],[Moyen de Maitrise]]*Tableau1434567[[#This Row],[Priorité initiale]]</f>
        <v>3</v>
      </c>
      <c r="O265" s="17" t="str">
        <f>IF(AND(N265&gt;=0,N265&lt;4),"P3",IF(AND(N265&gt;=4,N265&lt;=8),"P2",IF(N265&gt;8,"P1","")))</f>
        <v>P3</v>
      </c>
      <c r="P265" s="10"/>
      <c r="Q265" s="24"/>
      <c r="R265" s="24"/>
      <c r="S265" s="24"/>
      <c r="T265" s="24"/>
    </row>
    <row r="266" spans="1:20" ht="45" x14ac:dyDescent="0.25">
      <c r="A266" s="10" t="s">
        <v>751</v>
      </c>
      <c r="B266" s="10" t="s">
        <v>752</v>
      </c>
      <c r="C266" s="10" t="s">
        <v>753</v>
      </c>
      <c r="D266" s="15">
        <v>5</v>
      </c>
      <c r="E266" s="10" t="s">
        <v>209</v>
      </c>
      <c r="F266" s="10" t="s">
        <v>808</v>
      </c>
      <c r="G266" s="23" t="s">
        <v>809</v>
      </c>
      <c r="H266" s="26" t="s">
        <v>755</v>
      </c>
      <c r="I266" s="24">
        <v>2</v>
      </c>
      <c r="J266" s="24">
        <v>1</v>
      </c>
      <c r="K266" s="32">
        <f>I266*J266</f>
        <v>2</v>
      </c>
      <c r="L266" s="26" t="s">
        <v>810</v>
      </c>
      <c r="M266" s="24">
        <v>0.5</v>
      </c>
      <c r="N266" s="21">
        <f>K266*M266</f>
        <v>1</v>
      </c>
      <c r="O266" s="17" t="str">
        <f>IF(AND(N266&gt;=0,N266&lt;4),"P3",IF(AND(N266&gt;=4,N266&lt;=8),"P2",IF(N266&gt;8,"P1","")))</f>
        <v>P3</v>
      </c>
      <c r="P266" s="10"/>
      <c r="Q266" s="26"/>
      <c r="R266" s="24"/>
      <c r="S266" s="24"/>
      <c r="T266" s="24"/>
    </row>
    <row r="267" spans="1:20" ht="135" x14ac:dyDescent="0.25">
      <c r="A267" s="10" t="s">
        <v>614</v>
      </c>
      <c r="B267" s="10" t="s">
        <v>653</v>
      </c>
      <c r="C267" s="10" t="s">
        <v>654</v>
      </c>
      <c r="D267" s="15">
        <v>6</v>
      </c>
      <c r="E267" s="10" t="s">
        <v>205</v>
      </c>
      <c r="F267" s="10" t="s">
        <v>204</v>
      </c>
      <c r="G267" s="23" t="s">
        <v>203</v>
      </c>
      <c r="H267" s="26" t="s">
        <v>655</v>
      </c>
      <c r="I267" s="24">
        <v>1</v>
      </c>
      <c r="J267" s="24">
        <v>4</v>
      </c>
      <c r="K267" s="40">
        <f>Tableau1434567[[#This Row],[Fréquence]]*Tableau1434567[[#This Row],[Gravité]]</f>
        <v>4</v>
      </c>
      <c r="L267" s="26" t="s">
        <v>716</v>
      </c>
      <c r="M267" s="24">
        <v>0.5</v>
      </c>
      <c r="N267" s="42">
        <f>Tableau1434567[[#This Row],[Moyen de Maitrise]]*Tableau1434567[[#This Row],[Priorité initiale]]</f>
        <v>2</v>
      </c>
      <c r="O267" s="17" t="str">
        <f>IF(AND(N267&gt;=0,N267&lt;4),"P3",IF(AND(N267&gt;=4,N267&lt;=8),"P2",IF(N267&gt;8,"P1","")))</f>
        <v>P3</v>
      </c>
      <c r="P267" s="10" t="s">
        <v>717</v>
      </c>
      <c r="Q267" s="24"/>
      <c r="R267" s="28">
        <v>45890</v>
      </c>
      <c r="S267" s="24"/>
      <c r="T267" s="24"/>
    </row>
    <row r="268" spans="1:20" ht="120" x14ac:dyDescent="0.25">
      <c r="A268" s="29" t="s">
        <v>614</v>
      </c>
      <c r="B268" s="29" t="s">
        <v>741</v>
      </c>
      <c r="C268" s="29" t="s">
        <v>742</v>
      </c>
      <c r="D268" s="30">
        <v>6</v>
      </c>
      <c r="E268" s="29" t="s">
        <v>205</v>
      </c>
      <c r="F268" s="29" t="s">
        <v>204</v>
      </c>
      <c r="G268" s="19" t="s">
        <v>203</v>
      </c>
      <c r="H268" s="25" t="s">
        <v>743</v>
      </c>
      <c r="I268" s="20">
        <v>1</v>
      </c>
      <c r="J268" s="20">
        <v>4</v>
      </c>
      <c r="K268" s="40">
        <f>Tableau1434567[[#This Row],[Fréquence]]*Tableau1434567[[#This Row],[Gravité]]</f>
        <v>4</v>
      </c>
      <c r="L268" s="25" t="s">
        <v>750</v>
      </c>
      <c r="M268" s="20">
        <v>0.5</v>
      </c>
      <c r="N268" s="42">
        <f>Tableau1434567[[#This Row],[Moyen de Maitrise]]*Tableau1434567[[#This Row],[Priorité initiale]]</f>
        <v>2</v>
      </c>
      <c r="O268" s="17" t="str">
        <f>IF(AND(N268&gt;=0,N268&lt;4),"P3",IF(AND(N268&gt;=4,N268&lt;=8),"P2",IF(N268&gt;8,"P1","")))</f>
        <v>P3</v>
      </c>
      <c r="P268" s="29" t="s">
        <v>717</v>
      </c>
      <c r="Q268" s="20"/>
      <c r="R268" s="20"/>
      <c r="S268" s="27">
        <v>44992</v>
      </c>
      <c r="T268" s="20"/>
    </row>
    <row r="269" spans="1:20" ht="60" x14ac:dyDescent="0.25">
      <c r="A269" s="10" t="s">
        <v>751</v>
      </c>
      <c r="B269" s="10" t="s">
        <v>752</v>
      </c>
      <c r="C269" s="10" t="s">
        <v>753</v>
      </c>
      <c r="D269" s="15">
        <v>6</v>
      </c>
      <c r="E269" s="10" t="s">
        <v>205</v>
      </c>
      <c r="F269" s="10" t="s">
        <v>204</v>
      </c>
      <c r="G269" s="19" t="s">
        <v>203</v>
      </c>
      <c r="H269" s="25" t="s">
        <v>755</v>
      </c>
      <c r="I269" s="20">
        <v>1</v>
      </c>
      <c r="J269" s="20">
        <v>4</v>
      </c>
      <c r="K269" s="32">
        <f>I269*J269</f>
        <v>4</v>
      </c>
      <c r="L269" s="25" t="s">
        <v>774</v>
      </c>
      <c r="M269" s="20">
        <v>0.5</v>
      </c>
      <c r="N269" s="21">
        <f>K269*M269</f>
        <v>2</v>
      </c>
      <c r="O269" s="17" t="str">
        <f>IF(AND(N269&gt;=0,N269&lt;4),"P3",IF(AND(N269&gt;=4,N269&lt;=8),"P2",IF(N269&gt;8,"P1","")))</f>
        <v>P3</v>
      </c>
      <c r="P269" s="10" t="s">
        <v>774</v>
      </c>
      <c r="Q269" s="22">
        <v>46090</v>
      </c>
      <c r="R269" s="20"/>
      <c r="S269" s="27">
        <v>45172</v>
      </c>
      <c r="T269" s="20"/>
    </row>
    <row r="270" spans="1:20" ht="30" x14ac:dyDescent="0.25">
      <c r="A270" s="10" t="s">
        <v>305</v>
      </c>
      <c r="B270" s="10" t="s">
        <v>306</v>
      </c>
      <c r="C270" s="10" t="s">
        <v>307</v>
      </c>
      <c r="D270" s="15">
        <v>7</v>
      </c>
      <c r="E270" s="10" t="s">
        <v>193</v>
      </c>
      <c r="F270" s="10" t="s">
        <v>338</v>
      </c>
      <c r="G270" s="23" t="s">
        <v>339</v>
      </c>
      <c r="H270" s="26" t="s">
        <v>308</v>
      </c>
      <c r="I270" s="24">
        <v>1</v>
      </c>
      <c r="J270" s="24">
        <v>4</v>
      </c>
      <c r="K270" s="40">
        <f>Tableau1434567[[#This Row],[Fréquence]]*Tableau1434567[[#This Row],[Gravité]]</f>
        <v>4</v>
      </c>
      <c r="L270" s="26" t="s">
        <v>340</v>
      </c>
      <c r="M270" s="24">
        <v>0.5</v>
      </c>
      <c r="N270" s="42">
        <f>Tableau1434567[[#This Row],[Priorité initiale]]*Tableau1434567[[#This Row],[Moyen de Maitrise]]</f>
        <v>2</v>
      </c>
      <c r="O270" s="17" t="str">
        <f>IF(AND(N270&gt;=0,N270&lt;4),"P3",IF(AND(N270&gt;=4,N270&lt;=8),"P2",IF(N270&gt;8,"P1","")))</f>
        <v>P3</v>
      </c>
      <c r="P270" s="10"/>
      <c r="Q270" s="24"/>
      <c r="R270" s="24"/>
      <c r="S270" s="24"/>
      <c r="T270" s="24"/>
    </row>
    <row r="271" spans="1:20" ht="90" x14ac:dyDescent="0.25">
      <c r="A271" s="10" t="s">
        <v>305</v>
      </c>
      <c r="B271" s="10" t="s">
        <v>306</v>
      </c>
      <c r="C271" s="10" t="s">
        <v>307</v>
      </c>
      <c r="D271" s="15">
        <v>7</v>
      </c>
      <c r="E271" s="10" t="s">
        <v>193</v>
      </c>
      <c r="F271" s="10" t="s">
        <v>194</v>
      </c>
      <c r="G271" s="23" t="s">
        <v>341</v>
      </c>
      <c r="H271" s="26" t="s">
        <v>308</v>
      </c>
      <c r="I271" s="24">
        <v>1</v>
      </c>
      <c r="J271" s="24">
        <v>4</v>
      </c>
      <c r="K271" s="40">
        <f>Tableau1434567[[#This Row],[Fréquence]]*Tableau1434567[[#This Row],[Gravité]]</f>
        <v>4</v>
      </c>
      <c r="L271" s="26" t="s">
        <v>342</v>
      </c>
      <c r="M271" s="24">
        <v>0.5</v>
      </c>
      <c r="N271" s="42">
        <f>Tableau1434567[[#This Row],[Priorité initiale]]*Tableau1434567[[#This Row],[Moyen de Maitrise]]</f>
        <v>2</v>
      </c>
      <c r="O271" s="17" t="str">
        <f>IF(AND(N271&gt;=0,N271&lt;4),"P3",IF(AND(N271&gt;=4,N271&lt;=8),"P2",IF(N271&gt;8,"P1","")))</f>
        <v>P3</v>
      </c>
      <c r="P271" s="10"/>
      <c r="Q271" s="52"/>
      <c r="R271" s="26"/>
      <c r="S271" s="24"/>
      <c r="T271" s="24"/>
    </row>
    <row r="272" spans="1:20" ht="45" x14ac:dyDescent="0.25">
      <c r="A272" s="10" t="s">
        <v>490</v>
      </c>
      <c r="B272" s="10" t="s">
        <v>491</v>
      </c>
      <c r="C272" s="10" t="s">
        <v>500</v>
      </c>
      <c r="D272" s="15">
        <v>7</v>
      </c>
      <c r="E272" s="10" t="s">
        <v>193</v>
      </c>
      <c r="F272" s="10" t="s">
        <v>566</v>
      </c>
      <c r="G272" s="4" t="s">
        <v>195</v>
      </c>
      <c r="H272" s="6" t="s">
        <v>493</v>
      </c>
      <c r="I272" s="1">
        <v>1</v>
      </c>
      <c r="J272" s="1">
        <v>4</v>
      </c>
      <c r="K272" s="16">
        <f>Tableau1434567[[#This Row],[Fréquence]]*Tableau1434567[[#This Row],[Gravité]]</f>
        <v>4</v>
      </c>
      <c r="L272" s="6" t="s">
        <v>567</v>
      </c>
      <c r="M272" s="1">
        <v>0.75</v>
      </c>
      <c r="N272" s="2">
        <f>Tableau1434567[[#This Row],[Moyen de Maitrise]]*Tableau1434567[[#This Row],[Priorité initiale]]</f>
        <v>3</v>
      </c>
      <c r="O272" s="17" t="str">
        <f>IF(AND(N272&gt;=0,N272&lt;4),"P3",IF(AND(N272&gt;=4,N272&lt;=8),"P2",IF(N272&gt;8,"P1","")))</f>
        <v>P3</v>
      </c>
      <c r="P272" s="10" t="s">
        <v>568</v>
      </c>
      <c r="S272" s="14"/>
    </row>
    <row r="273" spans="1:20" ht="120" x14ac:dyDescent="0.25">
      <c r="A273" s="10" t="s">
        <v>490</v>
      </c>
      <c r="B273" s="10" t="s">
        <v>491</v>
      </c>
      <c r="C273" s="10" t="s">
        <v>492</v>
      </c>
      <c r="D273" s="15">
        <v>7</v>
      </c>
      <c r="E273" s="10" t="s">
        <v>193</v>
      </c>
      <c r="F273" s="10" t="s">
        <v>194</v>
      </c>
      <c r="G273" s="4" t="s">
        <v>195</v>
      </c>
      <c r="H273" s="6" t="s">
        <v>493</v>
      </c>
      <c r="I273" s="1">
        <v>1</v>
      </c>
      <c r="J273" s="1">
        <v>3</v>
      </c>
      <c r="K273" s="16">
        <f>Tableau1434567[[#This Row],[Fréquence]]*Tableau1434567[[#This Row],[Gravité]]</f>
        <v>3</v>
      </c>
      <c r="L273" s="6" t="s">
        <v>186</v>
      </c>
      <c r="M273" s="1">
        <v>1</v>
      </c>
      <c r="N273" s="2">
        <f>Tableau1434567[[#This Row],[Moyen de Maitrise]]*Tableau1434567[[#This Row],[Priorité initiale]]</f>
        <v>3</v>
      </c>
      <c r="O273" s="17" t="str">
        <f>IF(AND(N273&gt;=0,N273&lt;4),"P3",IF(AND(N273&gt;=4,N273&lt;=8),"P2",IF(N273&gt;8,"P1","")))</f>
        <v>P3</v>
      </c>
      <c r="P273" s="10" t="s">
        <v>551</v>
      </c>
      <c r="S273" s="14"/>
    </row>
    <row r="274" spans="1:20" ht="45" x14ac:dyDescent="0.25">
      <c r="A274" s="10" t="s">
        <v>490</v>
      </c>
      <c r="B274" s="10" t="s">
        <v>491</v>
      </c>
      <c r="C274" s="10" t="s">
        <v>492</v>
      </c>
      <c r="D274" s="15">
        <v>7</v>
      </c>
      <c r="E274" s="10" t="s">
        <v>193</v>
      </c>
      <c r="F274" s="10" t="s">
        <v>585</v>
      </c>
      <c r="G274" s="4" t="s">
        <v>508</v>
      </c>
      <c r="H274" s="6" t="s">
        <v>493</v>
      </c>
      <c r="I274" s="1">
        <v>1</v>
      </c>
      <c r="J274" s="1">
        <v>3</v>
      </c>
      <c r="K274" s="16">
        <f>Tableau1434567[[#This Row],[Fréquence]]*Tableau1434567[[#This Row],[Gravité]]</f>
        <v>3</v>
      </c>
      <c r="L274" s="6" t="s">
        <v>586</v>
      </c>
      <c r="M274" s="1">
        <v>0.75</v>
      </c>
      <c r="N274" s="2">
        <f>Tableau1434567[[#This Row],[Moyen de Maitrise]]*Tableau1434567[[#This Row],[Priorité initiale]]</f>
        <v>2.25</v>
      </c>
      <c r="O274" s="17" t="str">
        <f>IF(AND(N274&gt;=0,N274&lt;4),"P3",IF(AND(N274&gt;=4,N274&lt;=8),"P2",IF(N274&gt;8,"P1","")))</f>
        <v>P3</v>
      </c>
      <c r="P274" s="10" t="s">
        <v>587</v>
      </c>
      <c r="S274" s="14"/>
    </row>
    <row r="275" spans="1:20" ht="105" x14ac:dyDescent="0.25">
      <c r="A275" s="10" t="s">
        <v>614</v>
      </c>
      <c r="B275" s="10" t="s">
        <v>615</v>
      </c>
      <c r="C275" s="10" t="s">
        <v>616</v>
      </c>
      <c r="D275" s="15">
        <v>7</v>
      </c>
      <c r="E275" s="10" t="s">
        <v>193</v>
      </c>
      <c r="F275" s="10" t="s">
        <v>718</v>
      </c>
      <c r="G275" s="4" t="s">
        <v>182</v>
      </c>
      <c r="H275" s="6" t="s">
        <v>617</v>
      </c>
      <c r="I275" s="1">
        <v>1</v>
      </c>
      <c r="J275" s="1">
        <v>4</v>
      </c>
      <c r="K275" s="16">
        <f>Tableau1434567[[#This Row],[Fréquence]]*Tableau1434567[[#This Row],[Gravité]]</f>
        <v>4</v>
      </c>
      <c r="L275" s="6" t="s">
        <v>719</v>
      </c>
      <c r="M275" s="1">
        <v>0.5</v>
      </c>
      <c r="N275" s="2">
        <f>Tableau1434567[[#This Row],[Moyen de Maitrise]]*Tableau1434567[[#This Row],[Priorité initiale]]</f>
        <v>2</v>
      </c>
      <c r="O275" s="17" t="str">
        <f>IF(AND(N275&gt;=0,N275&lt;4),"P3",IF(AND(N275&gt;=4,N275&lt;=8),"P2",IF(N275&gt;8,"P1","")))</f>
        <v>P3</v>
      </c>
      <c r="P275" s="10" t="s">
        <v>720</v>
      </c>
      <c r="R275" s="14"/>
    </row>
    <row r="276" spans="1:20" ht="30" x14ac:dyDescent="0.25">
      <c r="A276" s="10" t="s">
        <v>751</v>
      </c>
      <c r="B276" s="10" t="s">
        <v>752</v>
      </c>
      <c r="C276" s="10" t="s">
        <v>779</v>
      </c>
      <c r="D276" s="15">
        <v>7</v>
      </c>
      <c r="E276" s="10" t="s">
        <v>193</v>
      </c>
      <c r="F276" s="10" t="s">
        <v>718</v>
      </c>
      <c r="G276" s="33" t="s">
        <v>692</v>
      </c>
      <c r="H276" s="35" t="s">
        <v>755</v>
      </c>
      <c r="I276" s="37">
        <v>1</v>
      </c>
      <c r="J276" s="37">
        <v>4</v>
      </c>
      <c r="K276" s="39">
        <f>I276*J276</f>
        <v>4</v>
      </c>
      <c r="L276" s="35" t="s">
        <v>800</v>
      </c>
      <c r="M276" s="37">
        <v>0.5</v>
      </c>
      <c r="N276" s="41">
        <f>K276*M276</f>
        <v>2</v>
      </c>
      <c r="O276" s="17" t="str">
        <f>IF(AND(N276&gt;=0,N276&lt;4),"P3",IF(AND(N276&gt;=4,N276&lt;=8),"P2",IF(N276&gt;8,"P1","")))</f>
        <v>P3</v>
      </c>
      <c r="P276" s="10" t="s">
        <v>801</v>
      </c>
      <c r="Q276" s="35"/>
      <c r="R276" s="37"/>
      <c r="S276" s="45"/>
      <c r="T276" s="37"/>
    </row>
    <row r="277" spans="1:20" ht="180" x14ac:dyDescent="0.25">
      <c r="A277" s="10" t="s">
        <v>305</v>
      </c>
      <c r="B277" s="10" t="s">
        <v>306</v>
      </c>
      <c r="C277" s="10" t="s">
        <v>307</v>
      </c>
      <c r="D277" s="15">
        <v>8</v>
      </c>
      <c r="E277" s="10" t="s">
        <v>184</v>
      </c>
      <c r="F277" s="10" t="s">
        <v>183</v>
      </c>
      <c r="G277" s="4" t="s">
        <v>182</v>
      </c>
      <c r="H277" s="6" t="s">
        <v>308</v>
      </c>
      <c r="I277" s="1">
        <v>1</v>
      </c>
      <c r="J277" s="1">
        <v>4</v>
      </c>
      <c r="K277" s="16">
        <f>Tableau1434567[[#This Row],[Fréquence]]*Tableau1434567[[#This Row],[Gravité]]</f>
        <v>4</v>
      </c>
      <c r="L277" s="6" t="s">
        <v>344</v>
      </c>
      <c r="M277" s="1">
        <v>0.5</v>
      </c>
      <c r="N277" s="2">
        <f>Tableau1434567[[#This Row],[Priorité initiale]]*Tableau1434567[[#This Row],[Moyen de Maitrise]]</f>
        <v>2</v>
      </c>
      <c r="O277" s="17" t="str">
        <f>IF(AND(N277&gt;=0,N277&lt;4),"P3",IF(AND(N277&gt;=4,N277&lt;=8),"P2",IF(N277&gt;8,"P1","")))</f>
        <v>P3</v>
      </c>
      <c r="P277" s="10"/>
      <c r="R277" s="14"/>
    </row>
    <row r="278" spans="1:20" ht="45" x14ac:dyDescent="0.25">
      <c r="A278" s="10" t="s">
        <v>490</v>
      </c>
      <c r="B278" s="10" t="s">
        <v>491</v>
      </c>
      <c r="C278" s="10" t="s">
        <v>492</v>
      </c>
      <c r="D278" s="15">
        <v>8</v>
      </c>
      <c r="E278" s="10" t="s">
        <v>184</v>
      </c>
      <c r="F278" s="10" t="s">
        <v>507</v>
      </c>
      <c r="G278" s="4" t="s">
        <v>508</v>
      </c>
      <c r="H278" s="6" t="s">
        <v>493</v>
      </c>
      <c r="I278" s="1">
        <v>1</v>
      </c>
      <c r="J278" s="1">
        <v>3</v>
      </c>
      <c r="K278" s="16">
        <f>Tableau1434567[[#This Row],[Fréquence]]*Tableau1434567[[#This Row],[Gravité]]</f>
        <v>3</v>
      </c>
      <c r="L278" s="6" t="s">
        <v>588</v>
      </c>
      <c r="M278" s="1">
        <v>0.75</v>
      </c>
      <c r="N278" s="2">
        <f>Tableau1434567[[#This Row],[Moyen de Maitrise]]*Tableau1434567[[#This Row],[Priorité initiale]]</f>
        <v>2.25</v>
      </c>
      <c r="O278" s="17" t="str">
        <f>IF(AND(N278&gt;=0,N278&lt;4),"P3",IF(AND(N278&gt;=4,N278&lt;=8),"P2",IF(N278&gt;8,"P1","")))</f>
        <v>P3</v>
      </c>
      <c r="P278" s="10" t="s">
        <v>589</v>
      </c>
      <c r="S278" s="14"/>
    </row>
    <row r="279" spans="1:20" ht="45" x14ac:dyDescent="0.25">
      <c r="A279" s="10" t="s">
        <v>490</v>
      </c>
      <c r="B279" s="10" t="s">
        <v>491</v>
      </c>
      <c r="C279" s="10" t="s">
        <v>492</v>
      </c>
      <c r="D279" s="15">
        <v>8</v>
      </c>
      <c r="E279" s="10" t="s">
        <v>184</v>
      </c>
      <c r="F279" s="10" t="s">
        <v>592</v>
      </c>
      <c r="G279" s="4" t="s">
        <v>182</v>
      </c>
      <c r="H279" s="6" t="s">
        <v>493</v>
      </c>
      <c r="I279" s="1">
        <v>1</v>
      </c>
      <c r="J279" s="1">
        <v>4</v>
      </c>
      <c r="K279" s="16">
        <f>Tableau1434567[[#This Row],[Fréquence]]*Tableau1434567[[#This Row],[Gravité]]</f>
        <v>4</v>
      </c>
      <c r="L279" s="6" t="s">
        <v>586</v>
      </c>
      <c r="M279" s="1">
        <v>0.5</v>
      </c>
      <c r="N279" s="2">
        <f>Tableau1434567[[#This Row],[Moyen de Maitrise]]*Tableau1434567[[#This Row],[Priorité initiale]]</f>
        <v>2</v>
      </c>
      <c r="O279" s="17" t="str">
        <f>IF(AND(N279&gt;=0,N279&lt;4),"P3",IF(AND(N279&gt;=4,N279&lt;=8),"P2",IF(N279&gt;8,"P1","")))</f>
        <v>P3</v>
      </c>
      <c r="P279" s="10" t="s">
        <v>587</v>
      </c>
      <c r="S279" s="14"/>
    </row>
    <row r="280" spans="1:20" ht="30" x14ac:dyDescent="0.25">
      <c r="A280" s="10" t="s">
        <v>751</v>
      </c>
      <c r="B280" s="10" t="s">
        <v>752</v>
      </c>
      <c r="C280" s="10" t="s">
        <v>779</v>
      </c>
      <c r="D280" s="15">
        <v>8</v>
      </c>
      <c r="E280" s="10" t="s">
        <v>184</v>
      </c>
      <c r="F280" s="10" t="s">
        <v>675</v>
      </c>
      <c r="G280" s="33" t="s">
        <v>182</v>
      </c>
      <c r="H280" s="35" t="s">
        <v>755</v>
      </c>
      <c r="I280" s="37">
        <v>1</v>
      </c>
      <c r="J280" s="37">
        <v>4</v>
      </c>
      <c r="K280" s="39">
        <f>I280*J280</f>
        <v>4</v>
      </c>
      <c r="L280" s="35" t="s">
        <v>789</v>
      </c>
      <c r="M280" s="37">
        <v>0.75</v>
      </c>
      <c r="N280" s="41">
        <f>K280*M280</f>
        <v>3</v>
      </c>
      <c r="O280" s="17" t="str">
        <f>IF(AND(N280&gt;=0,N280&lt;4),"P3",IF(AND(N280&gt;=4,N280&lt;=8),"P2",IF(N280&gt;8,"P1","")))</f>
        <v>P3</v>
      </c>
      <c r="P280" s="10" t="s">
        <v>790</v>
      </c>
      <c r="Q280" s="35"/>
      <c r="R280" s="37"/>
      <c r="S280" s="45"/>
      <c r="T280" s="37"/>
    </row>
    <row r="281" spans="1:20" ht="60" x14ac:dyDescent="0.25">
      <c r="A281" s="10" t="s">
        <v>305</v>
      </c>
      <c r="B281" s="10" t="s">
        <v>306</v>
      </c>
      <c r="C281" s="10" t="s">
        <v>307</v>
      </c>
      <c r="D281" s="15">
        <v>9</v>
      </c>
      <c r="E281" s="10" t="s">
        <v>177</v>
      </c>
      <c r="F281" s="10" t="s">
        <v>345</v>
      </c>
      <c r="G281" s="4" t="s">
        <v>346</v>
      </c>
      <c r="H281" s="6" t="s">
        <v>308</v>
      </c>
      <c r="I281" s="1">
        <v>1</v>
      </c>
      <c r="J281" s="1">
        <v>3</v>
      </c>
      <c r="K281" s="16">
        <f>Tableau1434567[[#This Row],[Fréquence]]*Tableau1434567[[#This Row],[Gravité]]</f>
        <v>3</v>
      </c>
      <c r="L281" s="6" t="s">
        <v>347</v>
      </c>
      <c r="M281" s="1">
        <v>0.5</v>
      </c>
      <c r="N281" s="2">
        <f>Tableau1434567[[#This Row],[Priorité initiale]]*Tableau1434567[[#This Row],[Moyen de Maitrise]]</f>
        <v>1.5</v>
      </c>
      <c r="O281" s="17" t="str">
        <f>IF(AND(N281&gt;=0,N281&lt;4),"P3",IF(AND(N281&gt;=4,N281&lt;=8),"P2",IF(N281&gt;8,"P1","")))</f>
        <v>P3</v>
      </c>
      <c r="P281" s="10"/>
      <c r="R281" s="14"/>
    </row>
    <row r="282" spans="1:20" ht="30" x14ac:dyDescent="0.25">
      <c r="A282" s="10" t="s">
        <v>305</v>
      </c>
      <c r="B282" s="10" t="s">
        <v>306</v>
      </c>
      <c r="C282" s="10" t="s">
        <v>307</v>
      </c>
      <c r="D282" s="15">
        <v>10</v>
      </c>
      <c r="E282" s="10" t="s">
        <v>172</v>
      </c>
      <c r="F282" s="10" t="s">
        <v>173</v>
      </c>
      <c r="G282" s="4" t="s">
        <v>348</v>
      </c>
      <c r="H282" s="6" t="s">
        <v>308</v>
      </c>
      <c r="I282" s="1">
        <v>1</v>
      </c>
      <c r="J282" s="1">
        <v>4</v>
      </c>
      <c r="K282" s="16">
        <f>Tableau1434567[[#This Row],[Fréquence]]*Tableau1434567[[#This Row],[Gravité]]</f>
        <v>4</v>
      </c>
      <c r="L282" s="6" t="s">
        <v>349</v>
      </c>
      <c r="M282" s="1">
        <v>0.5</v>
      </c>
      <c r="N282" s="2">
        <f>Tableau1434567[[#This Row],[Priorité initiale]]*Tableau1434567[[#This Row],[Moyen de Maitrise]]</f>
        <v>2</v>
      </c>
      <c r="O282" s="17" t="str">
        <f>IF(AND(N282&gt;=0,N282&lt;4),"P3",IF(AND(N282&gt;=4,N282&lt;=8),"P2",IF(N282&gt;8,"P1","")))</f>
        <v>P3</v>
      </c>
      <c r="P282" s="10"/>
      <c r="R282" s="14"/>
    </row>
    <row r="283" spans="1:20" ht="30" x14ac:dyDescent="0.25">
      <c r="A283" s="10" t="s">
        <v>614</v>
      </c>
      <c r="B283" s="10" t="s">
        <v>615</v>
      </c>
      <c r="C283" s="10" t="s">
        <v>616</v>
      </c>
      <c r="D283" s="15">
        <v>10</v>
      </c>
      <c r="E283" s="10" t="s">
        <v>172</v>
      </c>
      <c r="F283" s="10" t="s">
        <v>691</v>
      </c>
      <c r="G283" s="4" t="s">
        <v>692</v>
      </c>
      <c r="H283" s="6" t="s">
        <v>617</v>
      </c>
      <c r="I283" s="1">
        <v>1</v>
      </c>
      <c r="J283" s="1">
        <v>3</v>
      </c>
      <c r="K283" s="16">
        <f>Tableau1434567[[#This Row],[Fréquence]]*Tableau1434567[[#This Row],[Gravité]]</f>
        <v>3</v>
      </c>
      <c r="L283" s="6" t="s">
        <v>26</v>
      </c>
      <c r="M283" s="1">
        <v>1</v>
      </c>
      <c r="N283" s="2">
        <f>Tableau1434567[[#This Row],[Moyen de Maitrise]]*Tableau1434567[[#This Row],[Priorité initiale]]</f>
        <v>3</v>
      </c>
      <c r="O283" s="17" t="str">
        <f>IF(AND(N283&gt;=0,N283&lt;4),"P3",IF(AND(N283&gt;=4,N283&lt;=8),"P2",IF(N283&gt;8,"P1","")))</f>
        <v>P3</v>
      </c>
      <c r="P283" s="10" t="s">
        <v>693</v>
      </c>
    </row>
    <row r="284" spans="1:20" ht="30" x14ac:dyDescent="0.25">
      <c r="A284" s="10" t="s">
        <v>305</v>
      </c>
      <c r="B284" s="10" t="s">
        <v>306</v>
      </c>
      <c r="C284" s="10" t="s">
        <v>307</v>
      </c>
      <c r="D284" s="15">
        <v>11</v>
      </c>
      <c r="E284" s="10" t="s">
        <v>168</v>
      </c>
      <c r="F284" s="10" t="s">
        <v>169</v>
      </c>
      <c r="G284" s="4" t="s">
        <v>350</v>
      </c>
      <c r="H284" s="6" t="s">
        <v>308</v>
      </c>
      <c r="I284" s="1">
        <v>2</v>
      </c>
      <c r="J284" s="1">
        <v>3</v>
      </c>
      <c r="K284" s="16">
        <f>Tableau1434567[[#This Row],[Fréquence]]*Tableau1434567[[#This Row],[Gravité]]</f>
        <v>6</v>
      </c>
      <c r="L284" s="6" t="s">
        <v>351</v>
      </c>
      <c r="M284" s="1">
        <v>0.5</v>
      </c>
      <c r="N284" s="2">
        <f>Tableau1434567[[#This Row],[Priorité initiale]]*Tableau1434567[[#This Row],[Moyen de Maitrise]]</f>
        <v>3</v>
      </c>
      <c r="O284" s="17" t="str">
        <f>IF(AND(N284&gt;=0,N284&lt;4),"P3",IF(AND(N284&gt;=4,N284&lt;=8),"P2",IF(N284&gt;8,"P1","")))</f>
        <v>P3</v>
      </c>
      <c r="P284" s="10"/>
      <c r="R284" s="14"/>
    </row>
    <row r="285" spans="1:20" ht="30" x14ac:dyDescent="0.25">
      <c r="A285" s="10" t="s">
        <v>305</v>
      </c>
      <c r="B285" s="10" t="s">
        <v>306</v>
      </c>
      <c r="C285" s="10" t="s">
        <v>307</v>
      </c>
      <c r="D285" s="15">
        <v>11</v>
      </c>
      <c r="E285" s="10" t="s">
        <v>168</v>
      </c>
      <c r="F285" s="10" t="s">
        <v>352</v>
      </c>
      <c r="G285" s="4" t="s">
        <v>353</v>
      </c>
      <c r="H285" s="6" t="s">
        <v>308</v>
      </c>
      <c r="I285" s="1">
        <v>2</v>
      </c>
      <c r="J285" s="1">
        <v>3</v>
      </c>
      <c r="K285" s="16">
        <f>Tableau1434567[[#This Row],[Fréquence]]*Tableau1434567[[#This Row],[Gravité]]</f>
        <v>6</v>
      </c>
      <c r="L285" s="6" t="s">
        <v>354</v>
      </c>
      <c r="M285" s="1">
        <v>0.5</v>
      </c>
      <c r="N285" s="2">
        <f>Tableau1434567[[#This Row],[Priorité initiale]]*Tableau1434567[[#This Row],[Moyen de Maitrise]]</f>
        <v>3</v>
      </c>
      <c r="O285" s="17" t="str">
        <f>IF(AND(N285&gt;=0,N285&lt;4),"P3",IF(AND(N285&gt;=4,N285&lt;=8),"P2",IF(N285&gt;8,"P1","")))</f>
        <v>P3</v>
      </c>
      <c r="P285" s="10"/>
      <c r="R285" s="14"/>
    </row>
    <row r="286" spans="1:20" ht="45" x14ac:dyDescent="0.25">
      <c r="A286" s="10" t="s">
        <v>305</v>
      </c>
      <c r="B286" s="10" t="s">
        <v>306</v>
      </c>
      <c r="C286" s="10" t="s">
        <v>307</v>
      </c>
      <c r="D286" s="15">
        <v>11</v>
      </c>
      <c r="E286" s="10" t="s">
        <v>168</v>
      </c>
      <c r="F286" s="10" t="s">
        <v>355</v>
      </c>
      <c r="G286" s="4" t="s">
        <v>356</v>
      </c>
      <c r="H286" s="6" t="s">
        <v>308</v>
      </c>
      <c r="I286" s="1">
        <v>1</v>
      </c>
      <c r="J286" s="1">
        <v>4</v>
      </c>
      <c r="K286" s="16">
        <f>Tableau1434567[[#This Row],[Fréquence]]*Tableau1434567[[#This Row],[Gravité]]</f>
        <v>4</v>
      </c>
      <c r="L286" s="6" t="s">
        <v>357</v>
      </c>
      <c r="M286" s="1">
        <v>0.5</v>
      </c>
      <c r="N286" s="2">
        <f>Tableau1434567[[#This Row],[Priorité initiale]]*Tableau1434567[[#This Row],[Moyen de Maitrise]]</f>
        <v>2</v>
      </c>
      <c r="O286" s="17" t="str">
        <f>IF(AND(N286&gt;=0,N286&lt;4),"P3",IF(AND(N286&gt;=4,N286&lt;=8),"P2",IF(N286&gt;8,"P1","")))</f>
        <v>P3</v>
      </c>
      <c r="P286" s="10"/>
      <c r="R286" s="14"/>
    </row>
    <row r="287" spans="1:20" ht="60" x14ac:dyDescent="0.25">
      <c r="A287" s="10" t="s">
        <v>490</v>
      </c>
      <c r="B287" s="10" t="s">
        <v>491</v>
      </c>
      <c r="C287" s="10" t="s">
        <v>492</v>
      </c>
      <c r="D287" s="15">
        <v>12</v>
      </c>
      <c r="E287" s="10" t="s">
        <v>165</v>
      </c>
      <c r="F287" s="10" t="s">
        <v>164</v>
      </c>
      <c r="G287" s="4" t="s">
        <v>166</v>
      </c>
      <c r="H287" s="6" t="s">
        <v>493</v>
      </c>
      <c r="I287" s="1">
        <v>1</v>
      </c>
      <c r="J287" s="1">
        <v>4</v>
      </c>
      <c r="K287" s="16">
        <f>Tableau1434567[[#This Row],[Fréquence]]*Tableau1434567[[#This Row],[Gravité]]</f>
        <v>4</v>
      </c>
      <c r="L287" s="6" t="s">
        <v>523</v>
      </c>
      <c r="M287" s="1">
        <v>0.5</v>
      </c>
      <c r="N287" s="2">
        <f>Tableau1434567[[#This Row],[Moyen de Maitrise]]*Tableau1434567[[#This Row],[Priorité initiale]]</f>
        <v>2</v>
      </c>
      <c r="O287" s="17" t="str">
        <f>IF(AND(N287&gt;=0,N287&lt;4),"P3",IF(AND(N287&gt;=4,N287&lt;=8),"P2",IF(N287&gt;8,"P1","")))</f>
        <v>P3</v>
      </c>
      <c r="P287" s="10" t="s">
        <v>277</v>
      </c>
      <c r="R287" s="9">
        <v>46090</v>
      </c>
    </row>
    <row r="288" spans="1:20" ht="30" x14ac:dyDescent="0.25">
      <c r="A288" s="10" t="s">
        <v>305</v>
      </c>
      <c r="B288" s="10" t="s">
        <v>306</v>
      </c>
      <c r="C288" s="10" t="s">
        <v>307</v>
      </c>
      <c r="D288" s="15">
        <v>13</v>
      </c>
      <c r="E288" s="10" t="s">
        <v>160</v>
      </c>
      <c r="F288" s="10" t="s">
        <v>358</v>
      </c>
      <c r="G288" s="4" t="s">
        <v>58</v>
      </c>
      <c r="H288" s="6" t="s">
        <v>308</v>
      </c>
      <c r="I288" s="1">
        <v>2</v>
      </c>
      <c r="J288" s="1">
        <v>3</v>
      </c>
      <c r="K288" s="16">
        <f>Tableau1434567[[#This Row],[Fréquence]]*Tableau1434567[[#This Row],[Gravité]]</f>
        <v>6</v>
      </c>
      <c r="L288" s="6" t="s">
        <v>359</v>
      </c>
      <c r="M288" s="1">
        <v>0.5</v>
      </c>
      <c r="N288" s="2">
        <f>Tableau1434567[[#This Row],[Priorité initiale]]*Tableau1434567[[#This Row],[Moyen de Maitrise]]</f>
        <v>3</v>
      </c>
      <c r="O288" s="17" t="str">
        <f>IF(AND(N288&gt;=0,N288&lt;4),"P3",IF(AND(N288&gt;=4,N288&lt;=8),"P2",IF(N288&gt;8,"P1","")))</f>
        <v>P3</v>
      </c>
      <c r="P288" s="10"/>
    </row>
    <row r="289" spans="1:20" ht="30" x14ac:dyDescent="0.25">
      <c r="A289" s="10" t="s">
        <v>305</v>
      </c>
      <c r="B289" s="10" t="s">
        <v>306</v>
      </c>
      <c r="C289" s="10" t="s">
        <v>307</v>
      </c>
      <c r="D289" s="15">
        <v>13</v>
      </c>
      <c r="E289" s="10" t="s">
        <v>160</v>
      </c>
      <c r="F289" s="10" t="s">
        <v>161</v>
      </c>
      <c r="G289" s="4" t="s">
        <v>58</v>
      </c>
      <c r="H289" s="6" t="s">
        <v>308</v>
      </c>
      <c r="I289" s="1">
        <v>2</v>
      </c>
      <c r="J289" s="1">
        <v>3</v>
      </c>
      <c r="K289" s="16">
        <f>Tableau1434567[[#This Row],[Fréquence]]*Tableau1434567[[#This Row],[Gravité]]</f>
        <v>6</v>
      </c>
      <c r="L289" s="6" t="s">
        <v>359</v>
      </c>
      <c r="M289" s="1">
        <v>0.5</v>
      </c>
      <c r="N289" s="2">
        <f>Tableau1434567[[#This Row],[Priorité initiale]]*Tableau1434567[[#This Row],[Moyen de Maitrise]]</f>
        <v>3</v>
      </c>
      <c r="O289" s="17" t="str">
        <f>IF(AND(N289&gt;=0,N289&lt;4),"P3",IF(AND(N289&gt;=4,N289&lt;=8),"P2",IF(N289&gt;8,"P1","")))</f>
        <v>P3</v>
      </c>
      <c r="P289" s="10"/>
    </row>
    <row r="290" spans="1:20" ht="45" x14ac:dyDescent="0.25">
      <c r="A290" s="10" t="s">
        <v>751</v>
      </c>
      <c r="B290" s="10" t="s">
        <v>752</v>
      </c>
      <c r="C290" s="10" t="s">
        <v>779</v>
      </c>
      <c r="D290" s="15">
        <v>13</v>
      </c>
      <c r="E290" s="10" t="s">
        <v>160</v>
      </c>
      <c r="F290" s="10" t="s">
        <v>358</v>
      </c>
      <c r="G290" s="34" t="s">
        <v>806</v>
      </c>
      <c r="H290" s="36" t="s">
        <v>755</v>
      </c>
      <c r="I290" s="38">
        <v>1</v>
      </c>
      <c r="J290" s="38">
        <v>3</v>
      </c>
      <c r="K290" s="39">
        <f>I290*J290</f>
        <v>3</v>
      </c>
      <c r="L290" s="36" t="s">
        <v>807</v>
      </c>
      <c r="M290" s="38">
        <v>0.5</v>
      </c>
      <c r="N290" s="41">
        <f>K290*M290</f>
        <v>1.5</v>
      </c>
      <c r="O290" s="17" t="str">
        <f>IF(AND(N290&gt;=0,N290&lt;4),"P3",IF(AND(N290&gt;=4,N290&lt;=8),"P2",IF(N290&gt;8,"P1","")))</f>
        <v>P3</v>
      </c>
      <c r="P290" s="10" t="s">
        <v>797</v>
      </c>
      <c r="Q290" s="36"/>
      <c r="R290" s="38"/>
      <c r="S290" s="46"/>
      <c r="T290" s="38"/>
    </row>
    <row r="291" spans="1:20" ht="45" x14ac:dyDescent="0.25">
      <c r="A291" s="10" t="s">
        <v>305</v>
      </c>
      <c r="B291" s="10" t="s">
        <v>306</v>
      </c>
      <c r="C291" s="10" t="s">
        <v>307</v>
      </c>
      <c r="D291" s="15">
        <v>15</v>
      </c>
      <c r="E291" s="10" t="s">
        <v>155</v>
      </c>
      <c r="F291" s="10" t="s">
        <v>363</v>
      </c>
      <c r="G291" s="4" t="s">
        <v>364</v>
      </c>
      <c r="H291" s="6" t="s">
        <v>308</v>
      </c>
      <c r="I291" s="1">
        <v>2</v>
      </c>
      <c r="J291" s="1">
        <v>3</v>
      </c>
      <c r="K291" s="16">
        <f>Tableau1434567[[#This Row],[Fréquence]]*Tableau1434567[[#This Row],[Gravité]]</f>
        <v>6</v>
      </c>
      <c r="L291" s="6" t="s">
        <v>365</v>
      </c>
      <c r="M291" s="1">
        <v>0.5</v>
      </c>
      <c r="N291" s="2">
        <f>Tableau1434567[[#This Row],[Priorité initiale]]*Tableau1434567[[#This Row],[Moyen de Maitrise]]</f>
        <v>3</v>
      </c>
      <c r="O291" s="17" t="str">
        <f>IF(AND(N291&gt;=0,N291&lt;4),"P3",IF(AND(N291&gt;=4,N291&lt;=8),"P2",IF(N291&gt;8,"P1","")))</f>
        <v>P3</v>
      </c>
      <c r="P291" s="10"/>
      <c r="Q291" s="9"/>
      <c r="R291" s="14"/>
    </row>
    <row r="292" spans="1:20" ht="45" x14ac:dyDescent="0.25">
      <c r="A292" s="10" t="s">
        <v>305</v>
      </c>
      <c r="B292" s="10" t="s">
        <v>306</v>
      </c>
      <c r="C292" s="10" t="s">
        <v>307</v>
      </c>
      <c r="D292" s="15">
        <v>16</v>
      </c>
      <c r="E292" s="10" t="s">
        <v>142</v>
      </c>
      <c r="F292" s="10" t="s">
        <v>143</v>
      </c>
      <c r="G292" s="4" t="s">
        <v>366</v>
      </c>
      <c r="H292" s="6" t="s">
        <v>308</v>
      </c>
      <c r="I292" s="1">
        <v>2</v>
      </c>
      <c r="J292" s="1">
        <v>3</v>
      </c>
      <c r="K292" s="16">
        <f>Tableau1434567[[#This Row],[Fréquence]]*Tableau1434567[[#This Row],[Gravité]]</f>
        <v>6</v>
      </c>
      <c r="L292" s="6" t="s">
        <v>367</v>
      </c>
      <c r="M292" s="1">
        <v>0.5</v>
      </c>
      <c r="N292" s="2">
        <f>Tableau1434567[[#This Row],[Priorité initiale]]*Tableau1434567[[#This Row],[Moyen de Maitrise]]</f>
        <v>3</v>
      </c>
      <c r="O292" s="17" t="str">
        <f>IF(AND(N292&gt;=0,N292&lt;4),"P3",IF(AND(N292&gt;=4,N292&lt;=8),"P2",IF(N292&gt;8,"P1","")))</f>
        <v>P3</v>
      </c>
      <c r="P292" s="10"/>
      <c r="Q292" s="9"/>
      <c r="R292" s="14"/>
    </row>
    <row r="293" spans="1:20" ht="105" x14ac:dyDescent="0.25">
      <c r="A293" s="10" t="s">
        <v>490</v>
      </c>
      <c r="B293" s="10" t="s">
        <v>491</v>
      </c>
      <c r="C293" s="10" t="s">
        <v>500</v>
      </c>
      <c r="D293" s="15">
        <v>16</v>
      </c>
      <c r="E293" s="10" t="s">
        <v>142</v>
      </c>
      <c r="F293" s="10" t="s">
        <v>141</v>
      </c>
      <c r="G293" s="4" t="s">
        <v>140</v>
      </c>
      <c r="H293" s="6" t="s">
        <v>493</v>
      </c>
      <c r="I293" s="1">
        <v>1</v>
      </c>
      <c r="J293" s="1">
        <v>4</v>
      </c>
      <c r="K293" s="16">
        <f>Tableau1434567[[#This Row],[Fréquence]]*Tableau1434567[[#This Row],[Gravité]]</f>
        <v>4</v>
      </c>
      <c r="L293" s="6" t="s">
        <v>593</v>
      </c>
      <c r="M293" s="1">
        <v>0.5</v>
      </c>
      <c r="N293" s="2">
        <f>Tableau1434567[[#This Row],[Moyen de Maitrise]]*Tableau1434567[[#This Row],[Priorité initiale]]</f>
        <v>2</v>
      </c>
      <c r="O293" s="17" t="str">
        <f>IF(AND(N293&gt;=0,N293&lt;4),"P3",IF(AND(N293&gt;=4,N293&lt;=8),"P2",IF(N293&gt;8,"P1","")))</f>
        <v>P3</v>
      </c>
      <c r="P293" s="10" t="s">
        <v>593</v>
      </c>
      <c r="S293" s="14"/>
    </row>
    <row r="294" spans="1:20" ht="60" x14ac:dyDescent="0.25">
      <c r="A294" s="10" t="s">
        <v>614</v>
      </c>
      <c r="B294" s="10" t="s">
        <v>615</v>
      </c>
      <c r="C294" s="10" t="s">
        <v>616</v>
      </c>
      <c r="D294" s="15">
        <v>16</v>
      </c>
      <c r="E294" s="10" t="s">
        <v>142</v>
      </c>
      <c r="F294" s="10" t="s">
        <v>143</v>
      </c>
      <c r="G294" s="4" t="s">
        <v>721</v>
      </c>
      <c r="H294" s="6" t="s">
        <v>617</v>
      </c>
      <c r="I294" s="1">
        <v>1</v>
      </c>
      <c r="J294" s="1">
        <v>4</v>
      </c>
      <c r="K294" s="16">
        <f>Tableau1434567[[#This Row],[Fréquence]]*Tableau1434567[[#This Row],[Gravité]]</f>
        <v>4</v>
      </c>
      <c r="L294" s="6" t="s">
        <v>722</v>
      </c>
      <c r="M294" s="1">
        <v>0.5</v>
      </c>
      <c r="N294" s="2">
        <f>Tableau1434567[[#This Row],[Moyen de Maitrise]]*Tableau1434567[[#This Row],[Priorité initiale]]</f>
        <v>2</v>
      </c>
      <c r="O294" s="17" t="str">
        <f>IF(AND(N294&gt;=0,N294&lt;4),"P3",IF(AND(N294&gt;=4,N294&lt;=8),"P2",IF(N294&gt;8,"P1","")))</f>
        <v>P3</v>
      </c>
      <c r="P294" s="10" t="s">
        <v>723</v>
      </c>
      <c r="R294" s="14"/>
    </row>
    <row r="295" spans="1:20" ht="105" x14ac:dyDescent="0.25">
      <c r="A295" s="10" t="s">
        <v>614</v>
      </c>
      <c r="B295" s="10" t="s">
        <v>615</v>
      </c>
      <c r="C295" s="10" t="s">
        <v>616</v>
      </c>
      <c r="D295" s="15">
        <v>16</v>
      </c>
      <c r="E295" s="10" t="s">
        <v>142</v>
      </c>
      <c r="F295" s="10" t="s">
        <v>141</v>
      </c>
      <c r="G295" s="4" t="s">
        <v>724</v>
      </c>
      <c r="H295" s="6" t="s">
        <v>617</v>
      </c>
      <c r="I295" s="1">
        <v>1</v>
      </c>
      <c r="J295" s="1">
        <v>4</v>
      </c>
      <c r="K295" s="16">
        <f>Tableau1434567[[#This Row],[Fréquence]]*Tableau1434567[[#This Row],[Gravité]]</f>
        <v>4</v>
      </c>
      <c r="L295" s="6" t="s">
        <v>725</v>
      </c>
      <c r="M295" s="1">
        <v>0.5</v>
      </c>
      <c r="N295" s="2">
        <f>Tableau1434567[[#This Row],[Moyen de Maitrise]]*Tableau1434567[[#This Row],[Priorité initiale]]</f>
        <v>2</v>
      </c>
      <c r="O295" s="17" t="str">
        <f>IF(AND(N295&gt;=0,N295&lt;4),"P3",IF(AND(N295&gt;=4,N295&lt;=8),"P2",IF(N295&gt;8,"P1","")))</f>
        <v>P3</v>
      </c>
      <c r="P295" s="10" t="s">
        <v>726</v>
      </c>
      <c r="R295" s="14"/>
    </row>
    <row r="296" spans="1:20" ht="75" x14ac:dyDescent="0.25">
      <c r="A296" s="10" t="s">
        <v>614</v>
      </c>
      <c r="B296" s="10" t="s">
        <v>615</v>
      </c>
      <c r="C296" s="10" t="s">
        <v>668</v>
      </c>
      <c r="D296" s="15">
        <v>16</v>
      </c>
      <c r="E296" s="10" t="s">
        <v>142</v>
      </c>
      <c r="F296" s="10" t="s">
        <v>141</v>
      </c>
      <c r="G296" s="4" t="s">
        <v>140</v>
      </c>
      <c r="H296" s="6" t="s">
        <v>617</v>
      </c>
      <c r="I296" s="1">
        <v>1</v>
      </c>
      <c r="J296" s="1">
        <v>4</v>
      </c>
      <c r="K296" s="16">
        <f>Tableau1434567[[#This Row],[Fréquence]]*Tableau1434567[[#This Row],[Gravité]]</f>
        <v>4</v>
      </c>
      <c r="L296" s="6" t="s">
        <v>669</v>
      </c>
      <c r="M296" s="1">
        <v>0.5</v>
      </c>
      <c r="N296" s="2">
        <f>Tableau1434567[[#This Row],[Moyen de Maitrise]]*Tableau1434567[[#This Row],[Priorité initiale]]</f>
        <v>2</v>
      </c>
      <c r="O296" s="17" t="str">
        <f>IF(AND(N296&gt;=0,N296&lt;4),"P3",IF(AND(N296&gt;=4,N296&lt;=8),"P2",IF(N296&gt;8,"P1","")))</f>
        <v>P3</v>
      </c>
      <c r="P296" s="10" t="s">
        <v>669</v>
      </c>
      <c r="R296" s="14">
        <v>45379</v>
      </c>
    </row>
    <row r="297" spans="1:20" ht="105" x14ac:dyDescent="0.25">
      <c r="A297" s="10" t="s">
        <v>614</v>
      </c>
      <c r="B297" s="10" t="s">
        <v>741</v>
      </c>
      <c r="C297" s="10" t="s">
        <v>742</v>
      </c>
      <c r="D297" s="15">
        <v>16</v>
      </c>
      <c r="E297" s="10" t="s">
        <v>142</v>
      </c>
      <c r="F297" s="10" t="s">
        <v>141</v>
      </c>
      <c r="G297" s="34" t="s">
        <v>140</v>
      </c>
      <c r="H297" s="36" t="s">
        <v>743</v>
      </c>
      <c r="I297" s="38">
        <v>1</v>
      </c>
      <c r="J297" s="38">
        <v>4</v>
      </c>
      <c r="K297" s="16">
        <f>Tableau1434567[[#This Row],[Fréquence]]*Tableau1434567[[#This Row],[Gravité]]</f>
        <v>4</v>
      </c>
      <c r="L297" s="36" t="s">
        <v>656</v>
      </c>
      <c r="M297" s="38">
        <v>0.5</v>
      </c>
      <c r="N297" s="2">
        <f>Tableau1434567[[#This Row],[Moyen de Maitrise]]*Tableau1434567[[#This Row],[Priorité initiale]]</f>
        <v>2</v>
      </c>
      <c r="O297" s="17" t="str">
        <f>IF(AND(N297&gt;=0,N297&lt;4),"P3",IF(AND(N297&gt;=4,N297&lt;=8),"P2",IF(N297&gt;8,"P1","")))</f>
        <v>P3</v>
      </c>
      <c r="P297" s="10" t="s">
        <v>744</v>
      </c>
      <c r="Q297" s="38"/>
      <c r="R297" s="44">
        <v>46090</v>
      </c>
      <c r="S297" s="46">
        <v>45354</v>
      </c>
      <c r="T297" s="38" t="s">
        <v>745</v>
      </c>
    </row>
    <row r="298" spans="1:20" ht="30" x14ac:dyDescent="0.25">
      <c r="A298" s="10" t="s">
        <v>305</v>
      </c>
      <c r="B298" s="10" t="s">
        <v>306</v>
      </c>
      <c r="C298" s="10" t="s">
        <v>307</v>
      </c>
      <c r="D298" s="15">
        <v>17</v>
      </c>
      <c r="E298" s="10" t="s">
        <v>136</v>
      </c>
      <c r="F298" s="10" t="s">
        <v>368</v>
      </c>
      <c r="G298" s="4" t="s">
        <v>369</v>
      </c>
      <c r="H298" s="6" t="s">
        <v>308</v>
      </c>
      <c r="I298" s="1">
        <v>2</v>
      </c>
      <c r="J298" s="1">
        <v>3</v>
      </c>
      <c r="K298" s="16">
        <f>Tableau1434567[[#This Row],[Fréquence]]*Tableau1434567[[#This Row],[Gravité]]</f>
        <v>6</v>
      </c>
      <c r="L298" s="6" t="s">
        <v>370</v>
      </c>
      <c r="M298" s="1">
        <v>0.5</v>
      </c>
      <c r="N298" s="2">
        <f>Tableau1434567[[#This Row],[Priorité initiale]]*Tableau1434567[[#This Row],[Moyen de Maitrise]]</f>
        <v>3</v>
      </c>
      <c r="O298" s="17" t="str">
        <f>IF(AND(N298&gt;=0,N298&lt;4),"P3",IF(AND(N298&gt;=4,N298&lt;=8),"P2",IF(N298&gt;8,"P1","")))</f>
        <v>P3</v>
      </c>
      <c r="P298" s="10" t="s">
        <v>371</v>
      </c>
      <c r="Q298" s="9"/>
      <c r="R298" s="14"/>
    </row>
    <row r="299" spans="1:20" ht="30" x14ac:dyDescent="0.25">
      <c r="A299" s="10" t="s">
        <v>305</v>
      </c>
      <c r="B299" s="10" t="s">
        <v>306</v>
      </c>
      <c r="C299" s="10" t="s">
        <v>307</v>
      </c>
      <c r="D299" s="15">
        <v>17</v>
      </c>
      <c r="E299" s="10" t="s">
        <v>136</v>
      </c>
      <c r="F299" s="10" t="s">
        <v>372</v>
      </c>
      <c r="G299" s="4" t="s">
        <v>373</v>
      </c>
      <c r="H299" s="6" t="s">
        <v>308</v>
      </c>
      <c r="I299" s="1">
        <v>2</v>
      </c>
      <c r="J299" s="1">
        <v>2</v>
      </c>
      <c r="K299" s="16">
        <f>Tableau1434567[[#This Row],[Fréquence]]*Tableau1434567[[#This Row],[Gravité]]</f>
        <v>4</v>
      </c>
      <c r="L299" s="6" t="s">
        <v>374</v>
      </c>
      <c r="M299" s="1">
        <v>0.75</v>
      </c>
      <c r="N299" s="2">
        <f>Tableau1434567[[#This Row],[Priorité initiale]]*Tableau1434567[[#This Row],[Moyen de Maitrise]]</f>
        <v>3</v>
      </c>
      <c r="O299" s="17" t="str">
        <f>IF(AND(N299&gt;=0,N299&lt;4),"P3",IF(AND(N299&gt;=4,N299&lt;=8),"P2",IF(N299&gt;8,"P1","")))</f>
        <v>P3</v>
      </c>
      <c r="P299" s="10" t="s">
        <v>375</v>
      </c>
      <c r="Q299" s="9"/>
      <c r="R299" s="14"/>
    </row>
    <row r="300" spans="1:20" ht="30" x14ac:dyDescent="0.25">
      <c r="A300" s="10" t="s">
        <v>490</v>
      </c>
      <c r="B300" s="10" t="s">
        <v>491</v>
      </c>
      <c r="C300" s="10" t="s">
        <v>500</v>
      </c>
      <c r="D300" s="15">
        <v>17</v>
      </c>
      <c r="E300" s="10" t="s">
        <v>136</v>
      </c>
      <c r="F300" s="10" t="s">
        <v>372</v>
      </c>
      <c r="G300" s="4" t="s">
        <v>137</v>
      </c>
      <c r="H300" s="6" t="s">
        <v>493</v>
      </c>
      <c r="I300" s="1">
        <v>2</v>
      </c>
      <c r="J300" s="1">
        <v>3</v>
      </c>
      <c r="K300" s="16">
        <f>Tableau1434567[[#This Row],[Fréquence]]*Tableau1434567[[#This Row],[Gravité]]</f>
        <v>6</v>
      </c>
      <c r="L300" s="6" t="s">
        <v>569</v>
      </c>
      <c r="M300" s="1">
        <v>0.5</v>
      </c>
      <c r="N300" s="2">
        <f>Tableau1434567[[#This Row],[Moyen de Maitrise]]*Tableau1434567[[#This Row],[Priorité initiale]]</f>
        <v>3</v>
      </c>
      <c r="O300" s="17" t="str">
        <f>IF(AND(N300&gt;=0,N300&lt;4),"P3",IF(AND(N300&gt;=4,N300&lt;=8),"P2",IF(N300&gt;8,"P1","")))</f>
        <v>P3</v>
      </c>
      <c r="P300" s="10" t="s">
        <v>570</v>
      </c>
      <c r="S300" s="14"/>
    </row>
    <row r="301" spans="1:20" ht="30" x14ac:dyDescent="0.25">
      <c r="A301" s="10" t="s">
        <v>490</v>
      </c>
      <c r="B301" s="10" t="s">
        <v>491</v>
      </c>
      <c r="C301" s="10" t="s">
        <v>492</v>
      </c>
      <c r="D301" s="15">
        <v>17</v>
      </c>
      <c r="E301" s="10" t="s">
        <v>136</v>
      </c>
      <c r="F301" s="10" t="s">
        <v>138</v>
      </c>
      <c r="G301" s="4" t="s">
        <v>137</v>
      </c>
      <c r="H301" s="6" t="s">
        <v>493</v>
      </c>
      <c r="I301" s="1">
        <v>2</v>
      </c>
      <c r="J301" s="1">
        <v>3</v>
      </c>
      <c r="K301" s="16">
        <f>Tableau1434567[[#This Row],[Fréquence]]*Tableau1434567[[#This Row],[Gravité]]</f>
        <v>6</v>
      </c>
      <c r="L301" s="6" t="s">
        <v>569</v>
      </c>
      <c r="M301" s="1">
        <v>0.5</v>
      </c>
      <c r="N301" s="2">
        <f>Tableau1434567[[#This Row],[Moyen de Maitrise]]*Tableau1434567[[#This Row],[Priorité initiale]]</f>
        <v>3</v>
      </c>
      <c r="O301" s="17" t="str">
        <f>IF(AND(N301&gt;=0,N301&lt;4),"P3",IF(AND(N301&gt;=4,N301&lt;=8),"P2",IF(N301&gt;8,"P1","")))</f>
        <v>P3</v>
      </c>
      <c r="P301" s="10" t="s">
        <v>570</v>
      </c>
      <c r="S301" s="14"/>
    </row>
    <row r="302" spans="1:20" ht="75" x14ac:dyDescent="0.25">
      <c r="A302" s="10" t="s">
        <v>751</v>
      </c>
      <c r="B302" s="10" t="s">
        <v>752</v>
      </c>
      <c r="C302" s="10" t="s">
        <v>753</v>
      </c>
      <c r="D302" s="15">
        <v>17</v>
      </c>
      <c r="E302" s="10" t="s">
        <v>136</v>
      </c>
      <c r="F302" s="10" t="s">
        <v>372</v>
      </c>
      <c r="G302" s="34" t="s">
        <v>811</v>
      </c>
      <c r="H302" s="36" t="s">
        <v>755</v>
      </c>
      <c r="I302" s="38">
        <v>1</v>
      </c>
      <c r="J302" s="38">
        <v>2</v>
      </c>
      <c r="K302" s="39">
        <f>I302*J302</f>
        <v>2</v>
      </c>
      <c r="L302" s="36" t="s">
        <v>812</v>
      </c>
      <c r="M302" s="38">
        <v>0.5</v>
      </c>
      <c r="N302" s="41">
        <f>K302*M302</f>
        <v>1</v>
      </c>
      <c r="O302" s="17" t="str">
        <f>IF(AND(N302&gt;=0,N302&lt;4),"P3",IF(AND(N302&gt;=4,N302&lt;=8),"P2",IF(N302&gt;8,"P1","")))</f>
        <v>P3</v>
      </c>
      <c r="P302" s="10" t="s">
        <v>813</v>
      </c>
      <c r="Q302" s="36"/>
      <c r="R302" s="38"/>
      <c r="S302" s="46"/>
      <c r="T302" s="38"/>
    </row>
    <row r="303" spans="1:20" ht="45" x14ac:dyDescent="0.25">
      <c r="A303" s="10" t="s">
        <v>305</v>
      </c>
      <c r="B303" s="10" t="s">
        <v>306</v>
      </c>
      <c r="C303" s="10" t="s">
        <v>307</v>
      </c>
      <c r="D303" s="15">
        <v>18</v>
      </c>
      <c r="E303" s="10" t="s">
        <v>129</v>
      </c>
      <c r="F303" s="10" t="s">
        <v>381</v>
      </c>
      <c r="G303" s="4" t="s">
        <v>382</v>
      </c>
      <c r="H303" s="6" t="s">
        <v>308</v>
      </c>
      <c r="K303" s="16">
        <f>Tableau1434567[[#This Row],[Fréquence]]*Tableau1434567[[#This Row],[Gravité]]</f>
        <v>0</v>
      </c>
      <c r="L303" s="6" t="s">
        <v>383</v>
      </c>
      <c r="N303" s="2">
        <f>Tableau1434567[[#This Row],[Priorité initiale]]*Tableau1434567[[#This Row],[Moyen de Maitrise]]</f>
        <v>0</v>
      </c>
      <c r="O303" s="17" t="str">
        <f>IF(AND(N303&gt;=0,N303&lt;4),"P3",IF(AND(N303&gt;=4,N303&lt;=8),"P2",IF(N303&gt;8,"P1","")))</f>
        <v>P3</v>
      </c>
      <c r="P303" s="10"/>
    </row>
    <row r="304" spans="1:20" ht="45" x14ac:dyDescent="0.25">
      <c r="A304" s="10" t="s">
        <v>305</v>
      </c>
      <c r="B304" s="10" t="s">
        <v>306</v>
      </c>
      <c r="C304" s="10" t="s">
        <v>307</v>
      </c>
      <c r="D304" s="15">
        <v>19</v>
      </c>
      <c r="E304" s="10" t="s">
        <v>127</v>
      </c>
      <c r="F304" s="10" t="s">
        <v>384</v>
      </c>
      <c r="G304" s="4" t="s">
        <v>385</v>
      </c>
      <c r="H304" s="6" t="s">
        <v>308</v>
      </c>
      <c r="I304" s="1">
        <v>1</v>
      </c>
      <c r="J304" s="1">
        <v>3</v>
      </c>
      <c r="K304" s="16">
        <f>Tableau1434567[[#This Row],[Fréquence]]*Tableau1434567[[#This Row],[Gravité]]</f>
        <v>3</v>
      </c>
      <c r="L304" s="6" t="s">
        <v>386</v>
      </c>
      <c r="M304" s="1">
        <v>0.5</v>
      </c>
      <c r="N304" s="2">
        <f>Tableau1434567[[#This Row],[Priorité initiale]]*Tableau1434567[[#This Row],[Moyen de Maitrise]]</f>
        <v>1.5</v>
      </c>
      <c r="O304" s="17" t="str">
        <f>IF(AND(N304&gt;=0,N304&lt;4),"P3",IF(AND(N304&gt;=4,N304&lt;=8),"P2",IF(N304&gt;8,"P1","")))</f>
        <v>P3</v>
      </c>
      <c r="P304" s="10"/>
      <c r="R304" s="14"/>
    </row>
    <row r="305" spans="1:20" ht="30" x14ac:dyDescent="0.25">
      <c r="A305" s="10" t="s">
        <v>305</v>
      </c>
      <c r="B305" s="10" t="s">
        <v>306</v>
      </c>
      <c r="C305" s="10" t="s">
        <v>307</v>
      </c>
      <c r="D305" s="15">
        <v>19</v>
      </c>
      <c r="E305" s="10" t="s">
        <v>127</v>
      </c>
      <c r="F305" s="10" t="s">
        <v>387</v>
      </c>
      <c r="G305" s="4" t="s">
        <v>388</v>
      </c>
      <c r="H305" s="6" t="s">
        <v>308</v>
      </c>
      <c r="I305" s="1">
        <v>1</v>
      </c>
      <c r="J305" s="1">
        <v>3</v>
      </c>
      <c r="K305" s="16">
        <f>Tableau1434567[[#This Row],[Fréquence]]*Tableau1434567[[#This Row],[Gravité]]</f>
        <v>3</v>
      </c>
      <c r="L305" s="6" t="s">
        <v>389</v>
      </c>
      <c r="M305" s="1">
        <v>0.5</v>
      </c>
      <c r="N305" s="2">
        <f>Tableau1434567[[#This Row],[Priorité initiale]]*Tableau1434567[[#This Row],[Moyen de Maitrise]]</f>
        <v>1.5</v>
      </c>
      <c r="O305" s="17" t="str">
        <f>IF(AND(N305&gt;=0,N305&lt;4),"P3",IF(AND(N305&gt;=4,N305&lt;=8),"P2",IF(N305&gt;8,"P1","")))</f>
        <v>P3</v>
      </c>
      <c r="P305" s="10"/>
      <c r="R305" s="14"/>
    </row>
    <row r="306" spans="1:20" ht="60" x14ac:dyDescent="0.25">
      <c r="A306" s="10" t="s">
        <v>490</v>
      </c>
      <c r="B306" s="10" t="s">
        <v>491</v>
      </c>
      <c r="C306" s="10" t="s">
        <v>492</v>
      </c>
      <c r="D306" s="15">
        <v>19</v>
      </c>
      <c r="E306" s="10" t="s">
        <v>127</v>
      </c>
      <c r="F306" s="10" t="s">
        <v>126</v>
      </c>
      <c r="G306" s="4" t="s">
        <v>58</v>
      </c>
      <c r="H306" s="6" t="s">
        <v>493</v>
      </c>
      <c r="I306" s="1">
        <v>2</v>
      </c>
      <c r="J306" s="1">
        <v>2</v>
      </c>
      <c r="K306" s="16">
        <f>Tableau1434567[[#This Row],[Fréquence]]*Tableau1434567[[#This Row],[Gravité]]</f>
        <v>4</v>
      </c>
      <c r="L306" s="6" t="s">
        <v>594</v>
      </c>
      <c r="M306" s="1">
        <v>0.5</v>
      </c>
      <c r="N306" s="2">
        <f>Tableau1434567[[#This Row],[Moyen de Maitrise]]*Tableau1434567[[#This Row],[Priorité initiale]]</f>
        <v>2</v>
      </c>
      <c r="O306" s="17" t="str">
        <f>IF(AND(N306&gt;=0,N306&lt;4),"P3",IF(AND(N306&gt;=4,N306&lt;=8),"P2",IF(N306&gt;8,"P1","")))</f>
        <v>P3</v>
      </c>
      <c r="P306" s="10" t="s">
        <v>595</v>
      </c>
    </row>
    <row r="307" spans="1:20" ht="90" x14ac:dyDescent="0.25">
      <c r="A307" s="10" t="s">
        <v>305</v>
      </c>
      <c r="B307" s="10" t="s">
        <v>306</v>
      </c>
      <c r="C307" s="10" t="s">
        <v>307</v>
      </c>
      <c r="D307" s="15">
        <v>20</v>
      </c>
      <c r="E307" s="10" t="s">
        <v>122</v>
      </c>
      <c r="F307" s="10" t="s">
        <v>390</v>
      </c>
      <c r="G307" s="4" t="s">
        <v>391</v>
      </c>
      <c r="H307" s="6" t="s">
        <v>308</v>
      </c>
      <c r="I307" s="1">
        <v>1</v>
      </c>
      <c r="J307" s="1">
        <v>4</v>
      </c>
      <c r="K307" s="16">
        <f>Tableau1434567[[#This Row],[Fréquence]]*Tableau1434567[[#This Row],[Gravité]]</f>
        <v>4</v>
      </c>
      <c r="L307" s="6" t="s">
        <v>392</v>
      </c>
      <c r="M307" s="1">
        <v>0.75</v>
      </c>
      <c r="N307" s="2">
        <f>Tableau1434567[[#This Row],[Priorité initiale]]*Tableau1434567[[#This Row],[Moyen de Maitrise]]</f>
        <v>3</v>
      </c>
      <c r="O307" s="17" t="str">
        <f>IF(AND(N307&gt;=0,N307&lt;4),"P3",IF(AND(N307&gt;=4,N307&lt;=8),"P2",IF(N307&gt;8,"P1","")))</f>
        <v>P3</v>
      </c>
      <c r="P307" s="10" t="s">
        <v>393</v>
      </c>
      <c r="R307" s="14"/>
    </row>
    <row r="308" spans="1:20" ht="30" x14ac:dyDescent="0.25">
      <c r="A308" s="10" t="s">
        <v>490</v>
      </c>
      <c r="B308" s="10" t="s">
        <v>491</v>
      </c>
      <c r="C308" s="10" t="s">
        <v>492</v>
      </c>
      <c r="D308" s="15">
        <v>20</v>
      </c>
      <c r="E308" s="10" t="s">
        <v>122</v>
      </c>
      <c r="F308" s="10" t="s">
        <v>124</v>
      </c>
      <c r="G308" s="4" t="s">
        <v>123</v>
      </c>
      <c r="H308" s="6" t="s">
        <v>493</v>
      </c>
      <c r="I308" s="1">
        <v>1</v>
      </c>
      <c r="J308" s="1">
        <v>4</v>
      </c>
      <c r="K308" s="16">
        <f>Tableau1434567[[#This Row],[Fréquence]]*Tableau1434567[[#This Row],[Gravité]]</f>
        <v>4</v>
      </c>
      <c r="L308" s="6" t="s">
        <v>596</v>
      </c>
      <c r="M308" s="1">
        <v>0.5</v>
      </c>
      <c r="N308" s="2">
        <f>Tableau1434567[[#This Row],[Moyen de Maitrise]]*Tableau1434567[[#This Row],[Priorité initiale]]</f>
        <v>2</v>
      </c>
      <c r="O308" s="17" t="str">
        <f>IF(AND(N308&gt;=0,N308&lt;4),"P3",IF(AND(N308&gt;=4,N308&lt;=8),"P2",IF(N308&gt;8,"P1","")))</f>
        <v>P3</v>
      </c>
      <c r="P308" s="10" t="s">
        <v>596</v>
      </c>
    </row>
    <row r="309" spans="1:20" ht="45" x14ac:dyDescent="0.25">
      <c r="A309" s="10" t="s">
        <v>305</v>
      </c>
      <c r="B309" s="10" t="s">
        <v>306</v>
      </c>
      <c r="C309" s="10" t="s">
        <v>307</v>
      </c>
      <c r="D309" s="15">
        <v>21</v>
      </c>
      <c r="E309" s="10" t="s">
        <v>118</v>
      </c>
      <c r="F309" s="10" t="s">
        <v>394</v>
      </c>
      <c r="G309" s="4" t="s">
        <v>395</v>
      </c>
      <c r="H309" s="6" t="s">
        <v>308</v>
      </c>
      <c r="I309" s="1">
        <v>2</v>
      </c>
      <c r="J309" s="1">
        <v>3</v>
      </c>
      <c r="K309" s="16">
        <f>Tableau1434567[[#This Row],[Fréquence]]*Tableau1434567[[#This Row],[Gravité]]</f>
        <v>6</v>
      </c>
      <c r="L309" s="6" t="s">
        <v>396</v>
      </c>
      <c r="M309" s="1">
        <v>0.5</v>
      </c>
      <c r="N309" s="2">
        <f>Tableau1434567[[#This Row],[Priorité initiale]]*Tableau1434567[[#This Row],[Moyen de Maitrise]]</f>
        <v>3</v>
      </c>
      <c r="O309" s="17" t="str">
        <f>IF(AND(N309&gt;=0,N309&lt;4),"P3",IF(AND(N309&gt;=4,N309&lt;=8),"P2",IF(N309&gt;8,"P1","")))</f>
        <v>P3</v>
      </c>
      <c r="P309" s="10"/>
      <c r="Q309" s="9"/>
    </row>
    <row r="310" spans="1:20" ht="30" x14ac:dyDescent="0.25">
      <c r="A310" s="10" t="s">
        <v>490</v>
      </c>
      <c r="B310" s="10" t="s">
        <v>491</v>
      </c>
      <c r="C310" s="10" t="s">
        <v>500</v>
      </c>
      <c r="D310" s="15">
        <v>21</v>
      </c>
      <c r="E310" s="10" t="s">
        <v>118</v>
      </c>
      <c r="F310" s="10" t="s">
        <v>611</v>
      </c>
      <c r="G310" s="4" t="s">
        <v>58</v>
      </c>
      <c r="H310" s="6" t="s">
        <v>493</v>
      </c>
      <c r="I310" s="1">
        <v>1</v>
      </c>
      <c r="J310" s="1">
        <v>3</v>
      </c>
      <c r="K310" s="16">
        <f>Tableau1434567[[#This Row],[Fréquence]]*Tableau1434567[[#This Row],[Gravité]]</f>
        <v>3</v>
      </c>
      <c r="L310" s="6" t="s">
        <v>612</v>
      </c>
      <c r="M310" s="1">
        <v>0.5</v>
      </c>
      <c r="N310" s="2">
        <f>Tableau1434567[[#This Row],[Moyen de Maitrise]]*Tableau1434567[[#This Row],[Priorité initiale]]</f>
        <v>1.5</v>
      </c>
      <c r="O310" s="17" t="str">
        <f>IF(AND(N310&gt;=0,N310&lt;4),"P3",IF(AND(N310&gt;=4,N310&lt;=8),"P2",IF(N310&gt;8,"P1","")))</f>
        <v>P3</v>
      </c>
      <c r="P310" s="10"/>
    </row>
    <row r="311" spans="1:20" ht="45" x14ac:dyDescent="0.25">
      <c r="A311" s="10" t="s">
        <v>751</v>
      </c>
      <c r="B311" s="10" t="s">
        <v>752</v>
      </c>
      <c r="C311" s="10" t="s">
        <v>779</v>
      </c>
      <c r="D311" s="15">
        <v>21</v>
      </c>
      <c r="E311" s="10" t="s">
        <v>118</v>
      </c>
      <c r="F311" s="10" t="s">
        <v>661</v>
      </c>
      <c r="G311" s="34" t="s">
        <v>791</v>
      </c>
      <c r="H311" s="36" t="s">
        <v>755</v>
      </c>
      <c r="I311" s="38">
        <v>1</v>
      </c>
      <c r="J311" s="38">
        <v>4</v>
      </c>
      <c r="K311" s="39">
        <f>I311*J311</f>
        <v>4</v>
      </c>
      <c r="L311" s="36" t="s">
        <v>792</v>
      </c>
      <c r="M311" s="38">
        <v>0.75</v>
      </c>
      <c r="N311" s="41">
        <f>K311*M311</f>
        <v>3</v>
      </c>
      <c r="O311" s="17" t="str">
        <f>IF(AND(N311&gt;=0,N311&lt;4),"P3",IF(AND(N311&gt;=4,N311&lt;=8),"P2",IF(N311&gt;8,"P1","")))</f>
        <v>P3</v>
      </c>
      <c r="P311" s="10" t="s">
        <v>793</v>
      </c>
      <c r="Q311" s="36"/>
      <c r="R311" s="38"/>
      <c r="S311" s="38"/>
      <c r="T311" s="38"/>
    </row>
    <row r="312" spans="1:20" ht="75" x14ac:dyDescent="0.25">
      <c r="A312" s="10" t="s">
        <v>829</v>
      </c>
      <c r="B312" s="10" t="s">
        <v>830</v>
      </c>
      <c r="C312" s="10" t="s">
        <v>831</v>
      </c>
      <c r="D312" s="15">
        <v>21</v>
      </c>
      <c r="E312" s="10" t="s">
        <v>118</v>
      </c>
      <c r="F312" s="4" t="s">
        <v>835</v>
      </c>
      <c r="G312" s="4" t="s">
        <v>50</v>
      </c>
      <c r="H312" s="4" t="s">
        <v>10</v>
      </c>
      <c r="I312" s="1">
        <v>2</v>
      </c>
      <c r="J312" s="1">
        <v>3</v>
      </c>
      <c r="K312" s="16">
        <f>Tableau1434567[[#This Row],[Fréquence]]*Tableau1434567[[#This Row],[Gravité]]</f>
        <v>6</v>
      </c>
      <c r="L312" s="4" t="s">
        <v>839</v>
      </c>
      <c r="M312" s="1">
        <v>0.5</v>
      </c>
      <c r="N312" s="2">
        <f>Tableau1434567[[#This Row],[Moyen de Maitrise]]*Tableau1434567[[#This Row],[Priorité initiale]]</f>
        <v>3</v>
      </c>
      <c r="O312" s="17" t="s">
        <v>844</v>
      </c>
      <c r="P312" s="4" t="s">
        <v>842</v>
      </c>
    </row>
    <row r="313" spans="1:20" ht="30" x14ac:dyDescent="0.25">
      <c r="A313" s="10" t="s">
        <v>490</v>
      </c>
      <c r="B313" s="10" t="s">
        <v>491</v>
      </c>
      <c r="C313" s="10" t="s">
        <v>500</v>
      </c>
      <c r="D313" s="15">
        <v>21</v>
      </c>
      <c r="E313" s="10" t="s">
        <v>118</v>
      </c>
      <c r="F313" s="4" t="s">
        <v>836</v>
      </c>
      <c r="G313" s="4" t="s">
        <v>58</v>
      </c>
      <c r="H313" s="4" t="s">
        <v>493</v>
      </c>
      <c r="I313" s="1">
        <v>1</v>
      </c>
      <c r="J313" s="1">
        <v>3</v>
      </c>
      <c r="K313" s="16">
        <f>Tableau1434567[[#This Row],[Fréquence]]*Tableau1434567[[#This Row],[Gravité]]</f>
        <v>3</v>
      </c>
      <c r="L313" s="4" t="s">
        <v>612</v>
      </c>
      <c r="M313" s="1">
        <v>1</v>
      </c>
      <c r="N313" s="2">
        <f>Tableau1434567[[#This Row],[Moyen de Maitrise]]*Tableau1434567[[#This Row],[Priorité initiale]]</f>
        <v>3</v>
      </c>
      <c r="O313" s="17" t="s">
        <v>844</v>
      </c>
      <c r="P313" s="10"/>
    </row>
    <row r="314" spans="1:20" ht="75" x14ac:dyDescent="0.25">
      <c r="A314" s="10" t="s">
        <v>490</v>
      </c>
      <c r="B314" s="10" t="s">
        <v>491</v>
      </c>
      <c r="C314" s="10" t="s">
        <v>492</v>
      </c>
      <c r="D314" s="15">
        <v>21</v>
      </c>
      <c r="E314" s="10" t="s">
        <v>118</v>
      </c>
      <c r="F314" s="4" t="s">
        <v>835</v>
      </c>
      <c r="G314" s="4" t="s">
        <v>50</v>
      </c>
      <c r="H314" s="4" t="s">
        <v>493</v>
      </c>
      <c r="I314" s="1">
        <v>2</v>
      </c>
      <c r="J314" s="1">
        <v>3</v>
      </c>
      <c r="K314" s="16">
        <f>Tableau1434567[[#This Row],[Fréquence]]*Tableau1434567[[#This Row],[Gravité]]</f>
        <v>6</v>
      </c>
      <c r="L314" s="4" t="s">
        <v>119</v>
      </c>
      <c r="M314" s="1">
        <v>0.5</v>
      </c>
      <c r="N314" s="2">
        <f>Tableau1434567[[#This Row],[Moyen de Maitrise]]*Tableau1434567[[#This Row],[Priorité initiale]]</f>
        <v>3</v>
      </c>
      <c r="O314" s="17" t="s">
        <v>844</v>
      </c>
      <c r="P314" s="10"/>
    </row>
    <row r="315" spans="1:20" ht="75" x14ac:dyDescent="0.25">
      <c r="A315" s="10" t="s">
        <v>832</v>
      </c>
      <c r="B315" s="10" t="s">
        <v>833</v>
      </c>
      <c r="C315" s="10" t="s">
        <v>834</v>
      </c>
      <c r="D315" s="15">
        <v>21</v>
      </c>
      <c r="E315" s="10" t="s">
        <v>118</v>
      </c>
      <c r="F315" s="4" t="s">
        <v>835</v>
      </c>
      <c r="G315" s="4" t="s">
        <v>806</v>
      </c>
      <c r="H315" s="4" t="s">
        <v>838</v>
      </c>
      <c r="I315" s="1">
        <v>2</v>
      </c>
      <c r="J315" s="1">
        <v>3</v>
      </c>
      <c r="K315" s="16">
        <f>Tableau1434567[[#This Row],[Fréquence]]*Tableau1434567[[#This Row],[Gravité]]</f>
        <v>6</v>
      </c>
      <c r="L315" s="4" t="s">
        <v>840</v>
      </c>
      <c r="M315" s="1">
        <v>0.5</v>
      </c>
      <c r="N315" s="2">
        <f>Tableau1434567[[#This Row],[Moyen de Maitrise]]*Tableau1434567[[#This Row],[Priorité initiale]]</f>
        <v>3</v>
      </c>
      <c r="O315" s="17" t="s">
        <v>844</v>
      </c>
      <c r="P315" s="4" t="s">
        <v>843</v>
      </c>
    </row>
    <row r="316" spans="1:20" ht="60" x14ac:dyDescent="0.25">
      <c r="A316" s="10" t="s">
        <v>751</v>
      </c>
      <c r="B316" s="10" t="s">
        <v>752</v>
      </c>
      <c r="C316" s="10" t="s">
        <v>779</v>
      </c>
      <c r="D316" s="15">
        <v>22</v>
      </c>
      <c r="E316" s="10" t="s">
        <v>470</v>
      </c>
      <c r="F316" s="10" t="s">
        <v>620</v>
      </c>
      <c r="G316" s="33" t="s">
        <v>780</v>
      </c>
      <c r="H316" s="35" t="s">
        <v>755</v>
      </c>
      <c r="I316" s="37">
        <v>2</v>
      </c>
      <c r="J316" s="37">
        <v>3</v>
      </c>
      <c r="K316" s="39">
        <f>I316*J316</f>
        <v>6</v>
      </c>
      <c r="L316" s="35" t="s">
        <v>781</v>
      </c>
      <c r="M316" s="37">
        <v>0.5</v>
      </c>
      <c r="N316" s="41">
        <f>K316*M316</f>
        <v>3</v>
      </c>
      <c r="O316" s="17" t="str">
        <f>IF(AND(N316&gt;=0,N316&lt;4),"P3",IF(AND(N316&gt;=4,N316&lt;=8),"P2",IF(N316&gt;8,"P1","")))</f>
        <v>P3</v>
      </c>
      <c r="P316" s="10" t="s">
        <v>782</v>
      </c>
      <c r="Q316" s="43">
        <v>46090</v>
      </c>
      <c r="R316" s="37"/>
      <c r="S316" s="45"/>
      <c r="T316" s="37"/>
    </row>
    <row r="317" spans="1:20" ht="75" x14ac:dyDescent="0.25">
      <c r="A317" s="10" t="s">
        <v>490</v>
      </c>
      <c r="B317" s="10" t="s">
        <v>491</v>
      </c>
      <c r="C317" s="10" t="s">
        <v>492</v>
      </c>
      <c r="D317" s="15">
        <v>23</v>
      </c>
      <c r="E317" s="10" t="s">
        <v>821</v>
      </c>
      <c r="F317" s="10" t="s">
        <v>114</v>
      </c>
      <c r="G317" s="4" t="s">
        <v>115</v>
      </c>
      <c r="H317" s="6" t="s">
        <v>493</v>
      </c>
      <c r="I317" s="1">
        <v>1</v>
      </c>
      <c r="J317" s="1">
        <v>4</v>
      </c>
      <c r="K317" s="16">
        <f>Tableau1434567[[#This Row],[Fréquence]]*Tableau1434567[[#This Row],[Gravité]]</f>
        <v>4</v>
      </c>
      <c r="L317" s="6" t="s">
        <v>524</v>
      </c>
      <c r="M317" s="1">
        <v>0.75</v>
      </c>
      <c r="N317" s="2">
        <f>Tableau1434567[[#This Row],[Moyen de Maitrise]]*Tableau1434567[[#This Row],[Priorité initiale]]</f>
        <v>3</v>
      </c>
      <c r="O317" s="17" t="str">
        <f>IF(AND(N317&gt;=0,N317&lt;4),"P3",IF(AND(N317&gt;=4,N317&lt;=8),"P2",IF(N317&gt;8,"P1","")))</f>
        <v>P3</v>
      </c>
      <c r="P317" s="10" t="s">
        <v>525</v>
      </c>
      <c r="R317" s="9">
        <v>46090</v>
      </c>
      <c r="S317" s="14"/>
    </row>
    <row r="318" spans="1:20" ht="105" x14ac:dyDescent="0.25">
      <c r="A318" s="10" t="s">
        <v>490</v>
      </c>
      <c r="B318" s="10" t="s">
        <v>491</v>
      </c>
      <c r="C318" s="10" t="s">
        <v>492</v>
      </c>
      <c r="D318" s="15">
        <v>23</v>
      </c>
      <c r="E318" s="10" t="s">
        <v>821</v>
      </c>
      <c r="F318" s="10" t="s">
        <v>113</v>
      </c>
      <c r="G318" s="4" t="s">
        <v>58</v>
      </c>
      <c r="H318" s="6" t="s">
        <v>493</v>
      </c>
      <c r="I318" s="1">
        <v>1</v>
      </c>
      <c r="J318" s="1">
        <v>4</v>
      </c>
      <c r="K318" s="16">
        <f>Tableau1434567[[#This Row],[Fréquence]]*Tableau1434567[[#This Row],[Gravité]]</f>
        <v>4</v>
      </c>
      <c r="L318" s="6" t="s">
        <v>571</v>
      </c>
      <c r="M318" s="1">
        <v>0.75</v>
      </c>
      <c r="N318" s="2">
        <f>Tableau1434567[[#This Row],[Moyen de Maitrise]]*Tableau1434567[[#This Row],[Priorité initiale]]</f>
        <v>3</v>
      </c>
      <c r="O318" s="17" t="str">
        <f>IF(AND(N318&gt;=0,N318&lt;4),"P3",IF(AND(N318&gt;=4,N318&lt;=8),"P2",IF(N318&gt;8,"P1","")))</f>
        <v>P3</v>
      </c>
      <c r="P318" s="10" t="s">
        <v>572</v>
      </c>
      <c r="S318" s="14"/>
    </row>
    <row r="319" spans="1:20" ht="45" x14ac:dyDescent="0.25">
      <c r="A319" s="10" t="s">
        <v>305</v>
      </c>
      <c r="B319" s="10" t="s">
        <v>306</v>
      </c>
      <c r="C319" s="10" t="s">
        <v>307</v>
      </c>
      <c r="D319" s="15">
        <v>24</v>
      </c>
      <c r="E319" s="10" t="s">
        <v>99</v>
      </c>
      <c r="F319" s="10" t="s">
        <v>402</v>
      </c>
      <c r="G319" s="4" t="s">
        <v>403</v>
      </c>
      <c r="H319" s="6" t="s">
        <v>308</v>
      </c>
      <c r="I319" s="1">
        <v>3</v>
      </c>
      <c r="J319" s="1">
        <v>2</v>
      </c>
      <c r="K319" s="16">
        <f>Tableau1434567[[#This Row],[Fréquence]]*Tableau1434567[[#This Row],[Gravité]]</f>
        <v>6</v>
      </c>
      <c r="L319" s="6" t="s">
        <v>404</v>
      </c>
      <c r="M319" s="1">
        <v>0.5</v>
      </c>
      <c r="N319" s="2">
        <f>Tableau1434567[[#This Row],[Priorité initiale]]*Tableau1434567[[#This Row],[Moyen de Maitrise]]</f>
        <v>3</v>
      </c>
      <c r="O319" s="17" t="str">
        <f>IF(AND(N319&gt;=0,N319&lt;4),"P3",IF(AND(N319&gt;=4,N319&lt;=8),"P2",IF(N319&gt;8,"P1","")))</f>
        <v>P3</v>
      </c>
      <c r="P319" s="10"/>
      <c r="Q319" s="9"/>
    </row>
    <row r="320" spans="1:20" ht="45" x14ac:dyDescent="0.25">
      <c r="A320" s="10" t="s">
        <v>490</v>
      </c>
      <c r="B320" s="10" t="s">
        <v>491</v>
      </c>
      <c r="C320" s="10" t="s">
        <v>492</v>
      </c>
      <c r="D320" s="15">
        <v>24</v>
      </c>
      <c r="E320" s="10" t="s">
        <v>99</v>
      </c>
      <c r="F320" s="10" t="s">
        <v>98</v>
      </c>
      <c r="G320" s="4" t="s">
        <v>97</v>
      </c>
      <c r="H320" s="6" t="s">
        <v>493</v>
      </c>
      <c r="I320" s="1">
        <v>1</v>
      </c>
      <c r="J320" s="1">
        <v>4</v>
      </c>
      <c r="K320" s="16">
        <f>Tableau1434567[[#This Row],[Fréquence]]*Tableau1434567[[#This Row],[Gravité]]</f>
        <v>4</v>
      </c>
      <c r="L320" s="6" t="s">
        <v>104</v>
      </c>
      <c r="M320" s="1">
        <v>0.5</v>
      </c>
      <c r="N320" s="2">
        <f>Tableau1434567[[#This Row],[Moyen de Maitrise]]*Tableau1434567[[#This Row],[Priorité initiale]]</f>
        <v>2</v>
      </c>
      <c r="O320" s="17" t="str">
        <f>IF(AND(N320&gt;=0,N320&lt;4),"P3",IF(AND(N320&gt;=4,N320&lt;=8),"P2",IF(N320&gt;8,"P1","")))</f>
        <v>P3</v>
      </c>
      <c r="P320" s="10" t="s">
        <v>600</v>
      </c>
    </row>
    <row r="321" spans="1:20" ht="120" x14ac:dyDescent="0.25">
      <c r="A321" s="10" t="s">
        <v>490</v>
      </c>
      <c r="B321" s="10" t="s">
        <v>491</v>
      </c>
      <c r="C321" s="10" t="s">
        <v>492</v>
      </c>
      <c r="D321" s="15">
        <v>24</v>
      </c>
      <c r="E321" s="10" t="s">
        <v>99</v>
      </c>
      <c r="F321" s="10" t="s">
        <v>102</v>
      </c>
      <c r="G321" s="4" t="s">
        <v>97</v>
      </c>
      <c r="H321" s="6" t="s">
        <v>493</v>
      </c>
      <c r="I321" s="1">
        <v>2</v>
      </c>
      <c r="J321" s="1">
        <v>2</v>
      </c>
      <c r="K321" s="16">
        <f>Tableau1434567[[#This Row],[Fréquence]]*Tableau1434567[[#This Row],[Gravité]]</f>
        <v>4</v>
      </c>
      <c r="L321" s="6" t="s">
        <v>601</v>
      </c>
      <c r="M321" s="1">
        <v>0.5</v>
      </c>
      <c r="N321" s="2">
        <f>Tableau1434567[[#This Row],[Moyen de Maitrise]]*Tableau1434567[[#This Row],[Priorité initiale]]</f>
        <v>2</v>
      </c>
      <c r="O321" s="17" t="str">
        <f>IF(AND(N321&gt;=0,N321&lt;4),"P3",IF(AND(N321&gt;=4,N321&lt;=8),"P2",IF(N321&gt;8,"P1","")))</f>
        <v>P3</v>
      </c>
      <c r="P321" s="10" t="s">
        <v>602</v>
      </c>
    </row>
    <row r="322" spans="1:20" ht="60" x14ac:dyDescent="0.25">
      <c r="A322" s="10" t="s">
        <v>614</v>
      </c>
      <c r="B322" s="10" t="s">
        <v>615</v>
      </c>
      <c r="C322" s="10" t="s">
        <v>616</v>
      </c>
      <c r="D322" s="15">
        <v>24</v>
      </c>
      <c r="E322" s="10" t="s">
        <v>99</v>
      </c>
      <c r="F322" s="10" t="s">
        <v>102</v>
      </c>
      <c r="G322" s="4" t="s">
        <v>101</v>
      </c>
      <c r="H322" s="6" t="s">
        <v>617</v>
      </c>
      <c r="I322" s="1">
        <v>1</v>
      </c>
      <c r="J322" s="1">
        <v>2</v>
      </c>
      <c r="K322" s="16">
        <f>Tableau1434567[[#This Row],[Fréquence]]*Tableau1434567[[#This Row],[Gravité]]</f>
        <v>2</v>
      </c>
      <c r="L322" s="6" t="s">
        <v>732</v>
      </c>
      <c r="M322" s="1">
        <v>0.75</v>
      </c>
      <c r="N322" s="2">
        <f>Tableau1434567[[#This Row],[Moyen de Maitrise]]*Tableau1434567[[#This Row],[Priorité initiale]]</f>
        <v>1.5</v>
      </c>
      <c r="O322" s="17" t="str">
        <f>IF(AND(N322&gt;=0,N322&lt;4),"P3",IF(AND(N322&gt;=4,N322&lt;=8),"P2",IF(N322&gt;8,"P1","")))</f>
        <v>P3</v>
      </c>
      <c r="P322" s="10" t="s">
        <v>100</v>
      </c>
    </row>
    <row r="323" spans="1:20" ht="60" x14ac:dyDescent="0.25">
      <c r="A323" s="10" t="s">
        <v>614</v>
      </c>
      <c r="B323" s="10" t="s">
        <v>615</v>
      </c>
      <c r="C323" s="10" t="s">
        <v>616</v>
      </c>
      <c r="D323" s="15">
        <v>24</v>
      </c>
      <c r="E323" s="10" t="s">
        <v>99</v>
      </c>
      <c r="F323" s="10" t="s">
        <v>98</v>
      </c>
      <c r="G323" s="4" t="s">
        <v>97</v>
      </c>
      <c r="H323" s="6" t="s">
        <v>617</v>
      </c>
      <c r="I323" s="1">
        <v>1</v>
      </c>
      <c r="J323" s="1">
        <v>2</v>
      </c>
      <c r="K323" s="16">
        <f>Tableau1434567[[#This Row],[Fréquence]]*Tableau1434567[[#This Row],[Gravité]]</f>
        <v>2</v>
      </c>
      <c r="L323" s="6" t="s">
        <v>739</v>
      </c>
      <c r="M323" s="1">
        <v>0.5</v>
      </c>
      <c r="N323" s="2">
        <f>Tableau1434567[[#This Row],[Moyen de Maitrise]]*Tableau1434567[[#This Row],[Priorité initiale]]</f>
        <v>1</v>
      </c>
      <c r="O323" s="17" t="str">
        <f>IF(AND(N323&gt;=0,N323&lt;4),"P3",IF(AND(N323&gt;=4,N323&lt;=8),"P2",IF(N323&gt;8,"P1","")))</f>
        <v>P3</v>
      </c>
      <c r="P323" s="10" t="s">
        <v>740</v>
      </c>
    </row>
    <row r="324" spans="1:20" ht="60" x14ac:dyDescent="0.25">
      <c r="A324" s="10" t="s">
        <v>751</v>
      </c>
      <c r="B324" s="10" t="s">
        <v>752</v>
      </c>
      <c r="C324" s="10" t="s">
        <v>779</v>
      </c>
      <c r="D324" s="15">
        <v>24</v>
      </c>
      <c r="E324" s="10" t="s">
        <v>99</v>
      </c>
      <c r="F324" s="10" t="s">
        <v>98</v>
      </c>
      <c r="G324" s="33" t="s">
        <v>97</v>
      </c>
      <c r="H324" s="35" t="s">
        <v>755</v>
      </c>
      <c r="I324" s="37">
        <v>1</v>
      </c>
      <c r="J324" s="37">
        <v>2</v>
      </c>
      <c r="K324" s="39">
        <f>I324*J324</f>
        <v>2</v>
      </c>
      <c r="L324" s="35" t="s">
        <v>739</v>
      </c>
      <c r="M324" s="37">
        <v>0.5</v>
      </c>
      <c r="N324" s="41">
        <f>K324*M324</f>
        <v>1</v>
      </c>
      <c r="O324" s="17" t="str">
        <f>IF(AND(N324&gt;=0,N324&lt;4),"P3",IF(AND(N324&gt;=4,N324&lt;=8),"P2",IF(N324&gt;8,"P1","")))</f>
        <v>P3</v>
      </c>
      <c r="P324" s="10" t="s">
        <v>740</v>
      </c>
      <c r="Q324" s="35"/>
      <c r="R324" s="37"/>
      <c r="S324" s="37"/>
      <c r="T324" s="37"/>
    </row>
    <row r="325" spans="1:20" ht="30" x14ac:dyDescent="0.25">
      <c r="A325" s="10" t="s">
        <v>305</v>
      </c>
      <c r="B325" s="10" t="s">
        <v>306</v>
      </c>
      <c r="C325" s="10" t="s">
        <v>307</v>
      </c>
      <c r="D325" s="15">
        <v>25</v>
      </c>
      <c r="E325" s="10" t="s">
        <v>90</v>
      </c>
      <c r="F325" s="10" t="s">
        <v>91</v>
      </c>
      <c r="G325" s="4" t="s">
        <v>406</v>
      </c>
      <c r="H325" s="6" t="s">
        <v>308</v>
      </c>
      <c r="I325" s="1">
        <v>1</v>
      </c>
      <c r="J325" s="1">
        <v>4</v>
      </c>
      <c r="K325" s="16">
        <f>Tableau1434567[[#This Row],[Fréquence]]*Tableau1434567[[#This Row],[Gravité]]</f>
        <v>4</v>
      </c>
      <c r="L325" s="6" t="s">
        <v>94</v>
      </c>
      <c r="M325" s="1">
        <v>0.5</v>
      </c>
      <c r="N325" s="2">
        <f>Tableau1434567[[#This Row],[Priorité initiale]]*Tableau1434567[[#This Row],[Moyen de Maitrise]]</f>
        <v>2</v>
      </c>
      <c r="O325" s="17" t="str">
        <f>IF(AND(N325&gt;=0,N325&lt;4),"P3",IF(AND(N325&gt;=4,N325&lt;=8),"P2",IF(N325&gt;8,"P1","")))</f>
        <v>P3</v>
      </c>
      <c r="P325" s="10"/>
      <c r="Q325" s="9"/>
    </row>
    <row r="326" spans="1:20" ht="45" x14ac:dyDescent="0.25">
      <c r="A326" s="10" t="s">
        <v>490</v>
      </c>
      <c r="B326" s="10" t="s">
        <v>491</v>
      </c>
      <c r="C326" s="10" t="s">
        <v>492</v>
      </c>
      <c r="D326" s="15">
        <v>25</v>
      </c>
      <c r="E326" s="10" t="s">
        <v>90</v>
      </c>
      <c r="F326" s="10" t="s">
        <v>91</v>
      </c>
      <c r="G326" s="4" t="s">
        <v>58</v>
      </c>
      <c r="H326" s="6" t="s">
        <v>493</v>
      </c>
      <c r="I326" s="1">
        <v>1</v>
      </c>
      <c r="J326" s="1">
        <v>4</v>
      </c>
      <c r="K326" s="16">
        <f>Tableau1434567[[#This Row],[Fréquence]]*Tableau1434567[[#This Row],[Gravité]]</f>
        <v>4</v>
      </c>
      <c r="L326" s="6" t="s">
        <v>603</v>
      </c>
      <c r="M326" s="1">
        <v>0.5</v>
      </c>
      <c r="N326" s="2">
        <f>Tableau1434567[[#This Row],[Moyen de Maitrise]]*Tableau1434567[[#This Row],[Priorité initiale]]</f>
        <v>2</v>
      </c>
      <c r="O326" s="17" t="str">
        <f>IF(AND(N326&gt;=0,N326&lt;4),"P3",IF(AND(N326&gt;=4,N326&lt;=8),"P2",IF(N326&gt;8,"P1","")))</f>
        <v>P3</v>
      </c>
      <c r="P326" s="10" t="s">
        <v>604</v>
      </c>
      <c r="S326" s="14"/>
    </row>
    <row r="327" spans="1:20" ht="90" x14ac:dyDescent="0.25">
      <c r="A327" s="10" t="s">
        <v>490</v>
      </c>
      <c r="B327" s="10" t="s">
        <v>491</v>
      </c>
      <c r="C327" s="10" t="s">
        <v>492</v>
      </c>
      <c r="D327" s="15">
        <v>25</v>
      </c>
      <c r="E327" s="10" t="s">
        <v>90</v>
      </c>
      <c r="F327" s="10" t="s">
        <v>89</v>
      </c>
      <c r="G327" s="4" t="s">
        <v>88</v>
      </c>
      <c r="H327" s="6" t="s">
        <v>493</v>
      </c>
      <c r="I327" s="1">
        <v>4</v>
      </c>
      <c r="J327" s="1">
        <v>1</v>
      </c>
      <c r="K327" s="16">
        <f>Tableau1434567[[#This Row],[Fréquence]]*Tableau1434567[[#This Row],[Gravité]]</f>
        <v>4</v>
      </c>
      <c r="L327" s="6" t="s">
        <v>605</v>
      </c>
      <c r="M327" s="1">
        <v>0.5</v>
      </c>
      <c r="N327" s="2">
        <f>Tableau1434567[[#This Row],[Moyen de Maitrise]]*Tableau1434567[[#This Row],[Priorité initiale]]</f>
        <v>2</v>
      </c>
      <c r="O327" s="17" t="str">
        <f>IF(AND(N327&gt;=0,N327&lt;4),"P3",IF(AND(N327&gt;=4,N327&lt;=8),"P2",IF(N327&gt;8,"P1","")))</f>
        <v>P3</v>
      </c>
      <c r="P327" s="10" t="s">
        <v>606</v>
      </c>
      <c r="S327" s="14"/>
    </row>
    <row r="328" spans="1:20" ht="60" x14ac:dyDescent="0.25">
      <c r="A328" s="10" t="s">
        <v>614</v>
      </c>
      <c r="B328" s="10" t="s">
        <v>615</v>
      </c>
      <c r="C328" s="10" t="s">
        <v>633</v>
      </c>
      <c r="D328" s="15">
        <v>25</v>
      </c>
      <c r="E328" s="10" t="s">
        <v>90</v>
      </c>
      <c r="F328" s="10" t="s">
        <v>89</v>
      </c>
      <c r="G328" s="4" t="s">
        <v>88</v>
      </c>
      <c r="H328" s="6" t="s">
        <v>617</v>
      </c>
      <c r="I328" s="1">
        <v>4</v>
      </c>
      <c r="J328" s="1">
        <v>1</v>
      </c>
      <c r="K328" s="16">
        <f>Tableau1434567[[#This Row],[Fréquence]]*Tableau1434567[[#This Row],[Gravité]]</f>
        <v>4</v>
      </c>
      <c r="L328" s="6" t="s">
        <v>93</v>
      </c>
      <c r="M328" s="1">
        <v>0.5</v>
      </c>
      <c r="N328" s="2">
        <f>Tableau1434567[[#This Row],[Moyen de Maitrise]]*Tableau1434567[[#This Row],[Priorité initiale]]</f>
        <v>2</v>
      </c>
      <c r="O328" s="17" t="str">
        <f>IF(AND(N328&gt;=0,N328&lt;4),"P3",IF(AND(N328&gt;=4,N328&lt;=8),"P2",IF(N328&gt;8,"P1","")))</f>
        <v>P3</v>
      </c>
      <c r="P328" s="10" t="s">
        <v>92</v>
      </c>
      <c r="R328" s="14"/>
    </row>
    <row r="329" spans="1:20" ht="30" x14ac:dyDescent="0.25">
      <c r="A329" s="10" t="s">
        <v>614</v>
      </c>
      <c r="B329" s="10" t="s">
        <v>615</v>
      </c>
      <c r="C329" s="10" t="s">
        <v>616</v>
      </c>
      <c r="D329" s="15">
        <v>25</v>
      </c>
      <c r="E329" s="10" t="s">
        <v>90</v>
      </c>
      <c r="F329" s="10" t="s">
        <v>91</v>
      </c>
      <c r="G329" s="4" t="s">
        <v>58</v>
      </c>
      <c r="H329" s="6" t="s">
        <v>617</v>
      </c>
      <c r="I329" s="1">
        <v>1</v>
      </c>
      <c r="J329" s="1">
        <v>4</v>
      </c>
      <c r="K329" s="16">
        <f>Tableau1434567[[#This Row],[Fréquence]]*Tableau1434567[[#This Row],[Gravité]]</f>
        <v>4</v>
      </c>
      <c r="L329" s="6" t="s">
        <v>727</v>
      </c>
      <c r="M329" s="1">
        <v>0.5</v>
      </c>
      <c r="N329" s="2">
        <f>Tableau1434567[[#This Row],[Moyen de Maitrise]]*Tableau1434567[[#This Row],[Priorité initiale]]</f>
        <v>2</v>
      </c>
      <c r="O329" s="17" t="str">
        <f>IF(AND(N329&gt;=0,N329&lt;4),"P3",IF(AND(N329&gt;=4,N329&lt;=8),"P2",IF(N329&gt;8,"P1","")))</f>
        <v>P3</v>
      </c>
      <c r="P329" s="10" t="s">
        <v>557</v>
      </c>
      <c r="R329" s="14"/>
    </row>
    <row r="330" spans="1:20" ht="120" x14ac:dyDescent="0.25">
      <c r="A330" s="10" t="s">
        <v>751</v>
      </c>
      <c r="B330" s="10" t="s">
        <v>752</v>
      </c>
      <c r="C330" s="10" t="s">
        <v>779</v>
      </c>
      <c r="D330" s="15">
        <v>25</v>
      </c>
      <c r="E330" s="10" t="s">
        <v>90</v>
      </c>
      <c r="F330" s="10" t="s">
        <v>91</v>
      </c>
      <c r="G330" s="34" t="s">
        <v>58</v>
      </c>
      <c r="H330" s="36" t="s">
        <v>755</v>
      </c>
      <c r="I330" s="38">
        <v>1</v>
      </c>
      <c r="J330" s="38">
        <v>4</v>
      </c>
      <c r="K330" s="39">
        <f>I330*J330</f>
        <v>4</v>
      </c>
      <c r="L330" s="36" t="s">
        <v>802</v>
      </c>
      <c r="M330" s="38">
        <v>0.5</v>
      </c>
      <c r="N330" s="41">
        <f>K330*M330</f>
        <v>2</v>
      </c>
      <c r="O330" s="17" t="str">
        <f>IF(AND(N330&gt;=0,N330&lt;4),"P3",IF(AND(N330&gt;=4,N330&lt;=8),"P2",IF(N330&gt;8,"P1","")))</f>
        <v>P3</v>
      </c>
      <c r="P330" s="10" t="s">
        <v>803</v>
      </c>
      <c r="Q330" s="36"/>
      <c r="R330" s="38"/>
      <c r="S330" s="46"/>
      <c r="T330" s="38"/>
    </row>
    <row r="331" spans="1:20" ht="75" x14ac:dyDescent="0.25">
      <c r="A331" s="10" t="s">
        <v>305</v>
      </c>
      <c r="B331" s="10" t="s">
        <v>306</v>
      </c>
      <c r="C331" s="10" t="s">
        <v>307</v>
      </c>
      <c r="D331" s="15">
        <v>26</v>
      </c>
      <c r="E331" s="10" t="s">
        <v>81</v>
      </c>
      <c r="F331" s="10" t="s">
        <v>85</v>
      </c>
      <c r="G331" s="4" t="s">
        <v>407</v>
      </c>
      <c r="H331" s="6" t="s">
        <v>308</v>
      </c>
      <c r="I331" s="1">
        <v>2</v>
      </c>
      <c r="J331" s="1">
        <v>2</v>
      </c>
      <c r="K331" s="16">
        <f>Tableau1434567[[#This Row],[Fréquence]]*Tableau1434567[[#This Row],[Gravité]]</f>
        <v>4</v>
      </c>
      <c r="L331" s="6" t="s">
        <v>408</v>
      </c>
      <c r="M331" s="1">
        <v>0.75</v>
      </c>
      <c r="N331" s="2">
        <f>Tableau1434567[[#This Row],[Priorité initiale]]*Tableau1434567[[#This Row],[Moyen de Maitrise]]</f>
        <v>3</v>
      </c>
      <c r="O331" s="17" t="str">
        <f>IF(AND(N331&gt;=0,N331&lt;4),"P3",IF(AND(N331&gt;=4,N331&lt;=8),"P2",IF(N331&gt;8,"P1","")))</f>
        <v>P3</v>
      </c>
      <c r="P331" s="10"/>
      <c r="R331" s="14"/>
    </row>
    <row r="332" spans="1:20" ht="30" x14ac:dyDescent="0.25">
      <c r="A332" s="10" t="s">
        <v>305</v>
      </c>
      <c r="B332" s="10" t="s">
        <v>306</v>
      </c>
      <c r="C332" s="10" t="s">
        <v>307</v>
      </c>
      <c r="D332" s="15">
        <v>26</v>
      </c>
      <c r="E332" s="10" t="s">
        <v>81</v>
      </c>
      <c r="F332" s="10" t="s">
        <v>409</v>
      </c>
      <c r="G332" s="4" t="s">
        <v>410</v>
      </c>
      <c r="H332" s="6" t="s">
        <v>308</v>
      </c>
      <c r="I332" s="1">
        <v>1</v>
      </c>
      <c r="J332" s="1">
        <v>3</v>
      </c>
      <c r="K332" s="16">
        <f>Tableau1434567[[#This Row],[Fréquence]]*Tableau1434567[[#This Row],[Gravité]]</f>
        <v>3</v>
      </c>
      <c r="L332" s="6" t="s">
        <v>411</v>
      </c>
      <c r="M332" s="1">
        <v>0.5</v>
      </c>
      <c r="N332" s="2">
        <f>Tableau1434567[[#This Row],[Priorité initiale]]*Tableau1434567[[#This Row],[Moyen de Maitrise]]</f>
        <v>1.5</v>
      </c>
      <c r="O332" s="17" t="str">
        <f>IF(AND(N332&gt;=0,N332&lt;4),"P3",IF(AND(N332&gt;=4,N332&lt;=8),"P2",IF(N332&gt;8,"P1","")))</f>
        <v>P3</v>
      </c>
      <c r="P332" s="10"/>
      <c r="R332" s="14"/>
    </row>
    <row r="333" spans="1:20" ht="45" x14ac:dyDescent="0.25">
      <c r="A333" s="10" t="s">
        <v>490</v>
      </c>
      <c r="B333" s="10" t="s">
        <v>491</v>
      </c>
      <c r="C333" s="10" t="s">
        <v>500</v>
      </c>
      <c r="D333" s="15">
        <v>26</v>
      </c>
      <c r="E333" s="10" t="s">
        <v>81</v>
      </c>
      <c r="F333" s="10" t="s">
        <v>573</v>
      </c>
      <c r="G333" s="4" t="s">
        <v>574</v>
      </c>
      <c r="H333" s="6" t="s">
        <v>493</v>
      </c>
      <c r="I333" s="1">
        <v>1</v>
      </c>
      <c r="J333" s="1">
        <v>3</v>
      </c>
      <c r="K333" s="16">
        <f>Tableau1434567[[#This Row],[Fréquence]]*Tableau1434567[[#This Row],[Gravité]]</f>
        <v>3</v>
      </c>
      <c r="L333" s="6" t="s">
        <v>575</v>
      </c>
      <c r="M333" s="1">
        <v>1</v>
      </c>
      <c r="N333" s="2">
        <f>Tableau1434567[[#This Row],[Moyen de Maitrise]]*Tableau1434567[[#This Row],[Priorité initiale]]</f>
        <v>3</v>
      </c>
      <c r="O333" s="17" t="str">
        <f>IF(AND(N333&gt;=0,N333&lt;4),"P3",IF(AND(N333&gt;=4,N333&lt;=8),"P2",IF(N333&gt;8,"P1","")))</f>
        <v>P3</v>
      </c>
      <c r="P333" s="10" t="s">
        <v>576</v>
      </c>
      <c r="S333" s="14"/>
    </row>
    <row r="334" spans="1:20" ht="60" x14ac:dyDescent="0.25">
      <c r="A334" s="10" t="s">
        <v>490</v>
      </c>
      <c r="B334" s="10" t="s">
        <v>491</v>
      </c>
      <c r="C334" s="10" t="s">
        <v>492</v>
      </c>
      <c r="D334" s="15">
        <v>26</v>
      </c>
      <c r="E334" s="10" t="s">
        <v>81</v>
      </c>
      <c r="F334" s="10" t="s">
        <v>80</v>
      </c>
      <c r="G334" s="4" t="s">
        <v>79</v>
      </c>
      <c r="H334" s="6" t="s">
        <v>493</v>
      </c>
      <c r="I334" s="1">
        <v>2</v>
      </c>
      <c r="J334" s="1">
        <v>2</v>
      </c>
      <c r="K334" s="16">
        <f>Tableau1434567[[#This Row],[Fréquence]]*Tableau1434567[[#This Row],[Gravité]]</f>
        <v>4</v>
      </c>
      <c r="L334" s="6" t="s">
        <v>86</v>
      </c>
      <c r="M334" s="1">
        <v>0.5</v>
      </c>
      <c r="N334" s="2">
        <f>Tableau1434567[[#This Row],[Moyen de Maitrise]]*Tableau1434567[[#This Row],[Priorité initiale]]</f>
        <v>2</v>
      </c>
      <c r="O334" s="17" t="str">
        <f>IF(AND(N334&gt;=0,N334&lt;4),"P3",IF(AND(N334&gt;=4,N334&lt;=8),"P2",IF(N334&gt;8,"P1","")))</f>
        <v>P3</v>
      </c>
      <c r="P334" s="10" t="s">
        <v>607</v>
      </c>
      <c r="S334" s="14"/>
    </row>
    <row r="335" spans="1:20" ht="90" x14ac:dyDescent="0.25">
      <c r="A335" s="10" t="s">
        <v>614</v>
      </c>
      <c r="B335" s="10" t="s">
        <v>615</v>
      </c>
      <c r="C335" s="10" t="s">
        <v>616</v>
      </c>
      <c r="D335" s="15">
        <v>26</v>
      </c>
      <c r="E335" s="10" t="s">
        <v>81</v>
      </c>
      <c r="F335" s="10" t="s">
        <v>694</v>
      </c>
      <c r="G335" s="4" t="s">
        <v>695</v>
      </c>
      <c r="H335" s="6" t="s">
        <v>617</v>
      </c>
      <c r="I335" s="1">
        <v>2</v>
      </c>
      <c r="J335" s="1">
        <v>3</v>
      </c>
      <c r="K335" s="16">
        <f>Tableau1434567[[#This Row],[Fréquence]]*Tableau1434567[[#This Row],[Gravité]]</f>
        <v>6</v>
      </c>
      <c r="L335" s="6" t="s">
        <v>696</v>
      </c>
      <c r="M335" s="1">
        <v>0.5</v>
      </c>
      <c r="N335" s="2">
        <f>Tableau1434567[[#This Row],[Moyen de Maitrise]]*Tableau1434567[[#This Row],[Priorité initiale]]</f>
        <v>3</v>
      </c>
      <c r="O335" s="17" t="str">
        <f>IF(AND(N335&gt;=0,N335&lt;4),"P3",IF(AND(N335&gt;=4,N335&lt;=8),"P2",IF(N335&gt;8,"P1","")))</f>
        <v>P3</v>
      </c>
      <c r="P335" s="10"/>
      <c r="R335" s="14"/>
    </row>
    <row r="336" spans="1:20" ht="60" x14ac:dyDescent="0.25">
      <c r="A336" s="10" t="s">
        <v>614</v>
      </c>
      <c r="B336" s="10" t="s">
        <v>615</v>
      </c>
      <c r="C336" s="10" t="s">
        <v>633</v>
      </c>
      <c r="D336" s="15">
        <v>26</v>
      </c>
      <c r="E336" s="10" t="s">
        <v>81</v>
      </c>
      <c r="F336" s="10" t="s">
        <v>80</v>
      </c>
      <c r="G336" s="4" t="s">
        <v>79</v>
      </c>
      <c r="H336" s="6" t="s">
        <v>617</v>
      </c>
      <c r="I336" s="1">
        <v>2</v>
      </c>
      <c r="J336" s="1">
        <v>2</v>
      </c>
      <c r="K336" s="16">
        <f>Tableau1434567[[#This Row],[Fréquence]]*Tableau1434567[[#This Row],[Gravité]]</f>
        <v>4</v>
      </c>
      <c r="L336" s="6" t="s">
        <v>86</v>
      </c>
      <c r="M336" s="1">
        <v>0.5</v>
      </c>
      <c r="N336" s="2">
        <f>Tableau1434567[[#This Row],[Moyen de Maitrise]]*Tableau1434567[[#This Row],[Priorité initiale]]</f>
        <v>2</v>
      </c>
      <c r="O336" s="17" t="str">
        <f>IF(AND(N336&gt;=0,N336&lt;4),"P3",IF(AND(N336&gt;=4,N336&lt;=8),"P2",IF(N336&gt;8,"P1","")))</f>
        <v>P3</v>
      </c>
      <c r="P336" s="10" t="s">
        <v>728</v>
      </c>
      <c r="R336" s="14"/>
    </row>
    <row r="337" spans="1:20" ht="60" x14ac:dyDescent="0.25">
      <c r="A337" s="10" t="s">
        <v>751</v>
      </c>
      <c r="B337" s="10" t="s">
        <v>752</v>
      </c>
      <c r="C337" s="10" t="s">
        <v>753</v>
      </c>
      <c r="D337" s="15">
        <v>26</v>
      </c>
      <c r="E337" s="10" t="s">
        <v>81</v>
      </c>
      <c r="F337" s="10" t="s">
        <v>80</v>
      </c>
      <c r="G337" s="33" t="s">
        <v>79</v>
      </c>
      <c r="H337" s="35" t="s">
        <v>755</v>
      </c>
      <c r="I337" s="37">
        <v>2</v>
      </c>
      <c r="J337" s="37">
        <v>2</v>
      </c>
      <c r="K337" s="39">
        <f>I337*J337</f>
        <v>4</v>
      </c>
      <c r="L337" s="35" t="s">
        <v>804</v>
      </c>
      <c r="M337" s="37">
        <v>0.5</v>
      </c>
      <c r="N337" s="41">
        <f>K337*M337</f>
        <v>2</v>
      </c>
      <c r="O337" s="17" t="str">
        <f>IF(AND(N337&gt;=0,N337&lt;4),"P3",IF(AND(N337&gt;=4,N337&lt;=8),"P2",IF(N337&gt;8,"P1","")))</f>
        <v>P3</v>
      </c>
      <c r="P337" s="10" t="s">
        <v>805</v>
      </c>
      <c r="Q337" s="35"/>
      <c r="R337" s="37"/>
      <c r="S337" s="45"/>
      <c r="T337" s="37"/>
    </row>
    <row r="338" spans="1:20" ht="75" x14ac:dyDescent="0.25">
      <c r="A338" s="10" t="s">
        <v>305</v>
      </c>
      <c r="B338" s="10" t="s">
        <v>306</v>
      </c>
      <c r="C338" s="10" t="s">
        <v>307</v>
      </c>
      <c r="D338" s="15">
        <v>27</v>
      </c>
      <c r="E338" s="10" t="s">
        <v>76</v>
      </c>
      <c r="F338" s="10" t="s">
        <v>415</v>
      </c>
      <c r="G338" s="4" t="s">
        <v>416</v>
      </c>
      <c r="H338" s="6" t="s">
        <v>308</v>
      </c>
      <c r="I338" s="1">
        <v>2</v>
      </c>
      <c r="J338" s="1">
        <v>3</v>
      </c>
      <c r="K338" s="16">
        <f>Tableau1434567[[#This Row],[Fréquence]]*Tableau1434567[[#This Row],[Gravité]]</f>
        <v>6</v>
      </c>
      <c r="L338" s="6" t="s">
        <v>417</v>
      </c>
      <c r="M338" s="1">
        <v>0.5</v>
      </c>
      <c r="N338" s="2">
        <f>Tableau1434567[[#This Row],[Priorité initiale]]*Tableau1434567[[#This Row],[Moyen de Maitrise]]</f>
        <v>3</v>
      </c>
      <c r="O338" s="17" t="str">
        <f>IF(AND(N338&gt;=0,N338&lt;4),"P3",IF(AND(N338&gt;=4,N338&lt;=8),"P2",IF(N338&gt;8,"P1","")))</f>
        <v>P3</v>
      </c>
      <c r="P338" s="10" t="s">
        <v>418</v>
      </c>
      <c r="Q338" s="9"/>
    </row>
    <row r="339" spans="1:20" ht="30" x14ac:dyDescent="0.25">
      <c r="A339" s="10" t="s">
        <v>751</v>
      </c>
      <c r="B339" s="10" t="s">
        <v>752</v>
      </c>
      <c r="C339" s="10" t="s">
        <v>779</v>
      </c>
      <c r="D339" s="15">
        <v>27</v>
      </c>
      <c r="E339" s="10" t="s">
        <v>76</v>
      </c>
      <c r="F339" s="10" t="s">
        <v>75</v>
      </c>
      <c r="G339" s="34" t="s">
        <v>74</v>
      </c>
      <c r="H339" s="36" t="s">
        <v>755</v>
      </c>
      <c r="I339" s="38">
        <v>1</v>
      </c>
      <c r="J339" s="38">
        <v>2</v>
      </c>
      <c r="K339" s="39">
        <f>I339*J339</f>
        <v>2</v>
      </c>
      <c r="L339" s="36" t="s">
        <v>814</v>
      </c>
      <c r="M339" s="38">
        <v>0.5</v>
      </c>
      <c r="N339" s="41">
        <f>K339*M339</f>
        <v>1</v>
      </c>
      <c r="O339" s="17" t="str">
        <f>IF(AND(N339&gt;=0,N339&lt;4),"P3",IF(AND(N339&gt;=4,N339&lt;=8),"P2",IF(N339&gt;8,"P1","")))</f>
        <v>P3</v>
      </c>
      <c r="P339" s="10" t="s">
        <v>815</v>
      </c>
      <c r="Q339" s="36"/>
      <c r="R339" s="38"/>
      <c r="S339" s="38"/>
      <c r="T339" s="38"/>
    </row>
    <row r="340" spans="1:20" ht="165" x14ac:dyDescent="0.25">
      <c r="A340" s="10" t="s">
        <v>305</v>
      </c>
      <c r="B340" s="10" t="s">
        <v>306</v>
      </c>
      <c r="C340" s="10" t="s">
        <v>307</v>
      </c>
      <c r="D340" s="7">
        <v>28</v>
      </c>
      <c r="E340" s="4" t="s">
        <v>826</v>
      </c>
      <c r="F340" s="10" t="s">
        <v>827</v>
      </c>
      <c r="G340" s="4" t="s">
        <v>13</v>
      </c>
      <c r="H340" s="6" t="s">
        <v>308</v>
      </c>
      <c r="I340" s="1">
        <v>3</v>
      </c>
      <c r="J340" s="1">
        <v>2</v>
      </c>
      <c r="K340" s="16">
        <f>Tableau1434567[[#This Row],[Fréquence]]*Tableau1434567[[#This Row],[Gravité]]</f>
        <v>6</v>
      </c>
      <c r="L340" s="6" t="s">
        <v>419</v>
      </c>
      <c r="M340" s="1">
        <v>0.5</v>
      </c>
      <c r="N340" s="2">
        <f>Tableau1434567[[#This Row],[Priorité initiale]]*Tableau1434567[[#This Row],[Moyen de Maitrise]]</f>
        <v>3</v>
      </c>
      <c r="O340" s="17" t="str">
        <f>IF(AND(N340&gt;=0,N340&lt;4),"P3",IF(AND(N340&gt;=4,N340&lt;=8),"P2",IF(N340&gt;8,"P1","")))</f>
        <v>P3</v>
      </c>
      <c r="P340" s="10" t="s">
        <v>420</v>
      </c>
      <c r="Q340" s="9"/>
    </row>
    <row r="341" spans="1:20" ht="165" x14ac:dyDescent="0.25">
      <c r="A341" s="10" t="s">
        <v>614</v>
      </c>
      <c r="B341" s="10" t="s">
        <v>615</v>
      </c>
      <c r="C341" s="10" t="s">
        <v>633</v>
      </c>
      <c r="D341" s="7">
        <v>28</v>
      </c>
      <c r="E341" s="4" t="s">
        <v>826</v>
      </c>
      <c r="F341" s="10" t="s">
        <v>827</v>
      </c>
      <c r="G341" s="4" t="s">
        <v>13</v>
      </c>
      <c r="H341" s="6" t="s">
        <v>617</v>
      </c>
      <c r="I341" s="1">
        <v>3</v>
      </c>
      <c r="J341" s="1">
        <v>2</v>
      </c>
      <c r="K341" s="16">
        <f>Tableau1434567[[#This Row],[Fréquence]]*Tableau1434567[[#This Row],[Gravité]]</f>
        <v>6</v>
      </c>
      <c r="L341" s="6" t="s">
        <v>704</v>
      </c>
      <c r="M341" s="1">
        <v>0.5</v>
      </c>
      <c r="N341" s="2">
        <f>Tableau1434567[[#This Row],[Moyen de Maitrise]]*Tableau1434567[[#This Row],[Priorité initiale]]</f>
        <v>3</v>
      </c>
      <c r="O341" s="17" t="str">
        <f>IF(AND(N341&gt;=0,N341&lt;4),"P3",IF(AND(N341&gt;=4,N341&lt;=8),"P2",IF(N341&gt;8,"P1","")))</f>
        <v>P3</v>
      </c>
      <c r="P341" s="10" t="s">
        <v>560</v>
      </c>
      <c r="R341" s="14"/>
    </row>
    <row r="342" spans="1:20" ht="300" x14ac:dyDescent="0.25">
      <c r="A342" s="10" t="s">
        <v>614</v>
      </c>
      <c r="B342" s="10" t="s">
        <v>615</v>
      </c>
      <c r="C342" s="10" t="s">
        <v>633</v>
      </c>
      <c r="D342" s="7">
        <v>28</v>
      </c>
      <c r="E342" s="4" t="s">
        <v>826</v>
      </c>
      <c r="F342" s="10" t="s">
        <v>827</v>
      </c>
      <c r="G342" s="4" t="s">
        <v>13</v>
      </c>
      <c r="H342" s="6" t="s">
        <v>617</v>
      </c>
      <c r="I342" s="1">
        <v>3</v>
      </c>
      <c r="J342" s="1">
        <v>1</v>
      </c>
      <c r="K342" s="16">
        <f>Tableau1434567[[#This Row],[Fréquence]]*Tableau1434567[[#This Row],[Gravité]]</f>
        <v>3</v>
      </c>
      <c r="L342" s="6" t="s">
        <v>11</v>
      </c>
      <c r="M342" s="1">
        <v>0.75</v>
      </c>
      <c r="N342" s="2">
        <f>Tableau1434567[[#This Row],[Moyen de Maitrise]]*Tableau1434567[[#This Row],[Priorité initiale]]</f>
        <v>2.25</v>
      </c>
      <c r="O342" s="17" t="str">
        <f>IF(AND(N342&gt;=0,N342&lt;4),"P3",IF(AND(N342&gt;=4,N342&lt;=8),"P2",IF(N342&gt;8,"P1","")))</f>
        <v>P3</v>
      </c>
      <c r="P342" s="10" t="s">
        <v>511</v>
      </c>
    </row>
    <row r="343" spans="1:20" ht="180" x14ac:dyDescent="0.25">
      <c r="A343" s="10" t="s">
        <v>751</v>
      </c>
      <c r="B343" s="10" t="s">
        <v>752</v>
      </c>
      <c r="C343" s="10" t="s">
        <v>753</v>
      </c>
      <c r="D343" s="7">
        <v>28</v>
      </c>
      <c r="E343" s="4" t="s">
        <v>826</v>
      </c>
      <c r="F343" s="10" t="s">
        <v>827</v>
      </c>
      <c r="G343" s="4" t="s">
        <v>13</v>
      </c>
      <c r="H343" s="36" t="s">
        <v>755</v>
      </c>
      <c r="I343" s="38">
        <v>2</v>
      </c>
      <c r="J343" s="38">
        <v>2</v>
      </c>
      <c r="K343" s="39">
        <f>I343*J343</f>
        <v>4</v>
      </c>
      <c r="L343" s="36" t="s">
        <v>777</v>
      </c>
      <c r="M343" s="38">
        <v>0.75</v>
      </c>
      <c r="N343" s="41">
        <f>K343*M343</f>
        <v>3</v>
      </c>
      <c r="O343" s="17" t="str">
        <f>IF(AND(N343&gt;=0,N343&lt;4),"P3",IF(AND(N343&gt;=4,N343&lt;=8),"P2",IF(N343&gt;8,"P1","")))</f>
        <v>P3</v>
      </c>
      <c r="P343" s="10" t="s">
        <v>778</v>
      </c>
      <c r="Q343" s="44">
        <v>46090</v>
      </c>
      <c r="R343" s="38"/>
      <c r="S343" s="38"/>
      <c r="T343" s="38"/>
    </row>
    <row r="344" spans="1:20" ht="75" x14ac:dyDescent="0.25">
      <c r="A344" s="10" t="s">
        <v>305</v>
      </c>
      <c r="B344" s="10" t="s">
        <v>306</v>
      </c>
      <c r="C344" s="10" t="s">
        <v>307</v>
      </c>
      <c r="D344" s="15">
        <v>29</v>
      </c>
      <c r="E344" s="10" t="s">
        <v>68</v>
      </c>
      <c r="F344" s="10" t="s">
        <v>423</v>
      </c>
      <c r="G344" s="4" t="s">
        <v>424</v>
      </c>
      <c r="H344" s="6" t="s">
        <v>308</v>
      </c>
      <c r="I344" s="1">
        <v>1</v>
      </c>
      <c r="J344" s="1">
        <v>4</v>
      </c>
      <c r="K344" s="16">
        <f>Tableau1434567[[#This Row],[Fréquence]]*Tableau1434567[[#This Row],[Gravité]]</f>
        <v>4</v>
      </c>
      <c r="L344" s="6" t="s">
        <v>425</v>
      </c>
      <c r="M344" s="1">
        <v>0.5</v>
      </c>
      <c r="N344" s="2">
        <f>Tableau1434567[[#This Row],[Priorité initiale]]*Tableau1434567[[#This Row],[Moyen de Maitrise]]</f>
        <v>2</v>
      </c>
      <c r="O344" s="17" t="str">
        <f>IF(AND(N344&gt;=0,N344&lt;4),"P3",IF(AND(N344&gt;=4,N344&lt;=8),"P2",IF(N344&gt;8,"P1","")))</f>
        <v>P3</v>
      </c>
      <c r="P344" s="10" t="s">
        <v>426</v>
      </c>
      <c r="Q344" s="9"/>
    </row>
    <row r="345" spans="1:20" ht="45" x14ac:dyDescent="0.25">
      <c r="A345" s="10" t="s">
        <v>614</v>
      </c>
      <c r="B345" s="10" t="s">
        <v>615</v>
      </c>
      <c r="C345" s="10" t="s">
        <v>616</v>
      </c>
      <c r="D345" s="15">
        <v>29</v>
      </c>
      <c r="E345" s="10" t="s">
        <v>68</v>
      </c>
      <c r="F345" s="10" t="s">
        <v>701</v>
      </c>
      <c r="G345" s="4" t="s">
        <v>702</v>
      </c>
      <c r="H345" s="6" t="s">
        <v>617</v>
      </c>
      <c r="I345" s="1">
        <v>3</v>
      </c>
      <c r="J345" s="1">
        <v>1</v>
      </c>
      <c r="K345" s="16">
        <f>Tableau1434567[[#This Row],[Fréquence]]*Tableau1434567[[#This Row],[Gravité]]</f>
        <v>3</v>
      </c>
      <c r="L345" s="6" t="s">
        <v>26</v>
      </c>
      <c r="M345" s="1">
        <v>1</v>
      </c>
      <c r="N345" s="2">
        <f>Tableau1434567[[#This Row],[Moyen de Maitrise]]*Tableau1434567[[#This Row],[Priorité initiale]]</f>
        <v>3</v>
      </c>
      <c r="O345" s="17" t="str">
        <f>IF(AND(N345&gt;=0,N345&lt;4),"P3",IF(AND(N345&gt;=4,N345&lt;=8),"P2",IF(N345&gt;8,"P1","")))</f>
        <v>P3</v>
      </c>
      <c r="P345" s="10" t="s">
        <v>703</v>
      </c>
      <c r="R345" s="14"/>
    </row>
    <row r="346" spans="1:20" ht="180" x14ac:dyDescent="0.25">
      <c r="A346" s="10" t="s">
        <v>490</v>
      </c>
      <c r="B346" s="10" t="s">
        <v>491</v>
      </c>
      <c r="C346" s="10" t="s">
        <v>495</v>
      </c>
      <c r="D346" s="15">
        <v>30</v>
      </c>
      <c r="E346" s="10" t="s">
        <v>60</v>
      </c>
      <c r="F346" s="10" t="s">
        <v>59</v>
      </c>
      <c r="G346" s="4" t="s">
        <v>58</v>
      </c>
      <c r="H346" s="6" t="s">
        <v>493</v>
      </c>
      <c r="I346" s="1">
        <v>3</v>
      </c>
      <c r="J346" s="1">
        <v>2</v>
      </c>
      <c r="K346" s="16">
        <f>Tableau1434567[[#This Row],[Fréquence]]*Tableau1434567[[#This Row],[Gravité]]</f>
        <v>6</v>
      </c>
      <c r="L346" s="6" t="s">
        <v>522</v>
      </c>
      <c r="M346" s="1">
        <v>0.5</v>
      </c>
      <c r="N346" s="2">
        <f>Tableau1434567[[#This Row],[Moyen de Maitrise]]*Tableau1434567[[#This Row],[Priorité initiale]]</f>
        <v>3</v>
      </c>
      <c r="O346" s="17" t="str">
        <f>IF(AND(N346&gt;=0,N346&lt;4),"P3",IF(AND(N346&gt;=4,N346&lt;=8),"P2",IF(N346&gt;8,"P1","")))</f>
        <v>P3</v>
      </c>
      <c r="P346" s="10"/>
      <c r="R346" s="9">
        <v>46090</v>
      </c>
      <c r="S346" s="14">
        <v>45354</v>
      </c>
    </row>
    <row r="347" spans="1:20" ht="165" x14ac:dyDescent="0.25">
      <c r="A347" s="10" t="s">
        <v>751</v>
      </c>
      <c r="B347" s="10" t="s">
        <v>752</v>
      </c>
      <c r="C347" s="10" t="s">
        <v>753</v>
      </c>
      <c r="D347" s="15">
        <v>30</v>
      </c>
      <c r="E347" s="10" t="s">
        <v>60</v>
      </c>
      <c r="F347" s="10" t="s">
        <v>59</v>
      </c>
      <c r="G347" s="33" t="s">
        <v>58</v>
      </c>
      <c r="H347" s="35" t="s">
        <v>755</v>
      </c>
      <c r="I347" s="37">
        <v>2</v>
      </c>
      <c r="J347" s="37">
        <v>3</v>
      </c>
      <c r="K347" s="39">
        <f>I347*J347</f>
        <v>6</v>
      </c>
      <c r="L347" s="35" t="s">
        <v>758</v>
      </c>
      <c r="M347" s="37">
        <v>0.5</v>
      </c>
      <c r="N347" s="41">
        <f>K347*M347</f>
        <v>3</v>
      </c>
      <c r="O347" s="17" t="str">
        <f>IF(AND(N347&gt;=0,N347&lt;4),"P3",IF(AND(N347&gt;=4,N347&lt;=8),"P2",IF(N347&gt;8,"P1","")))</f>
        <v>P3</v>
      </c>
      <c r="P347" s="10" t="s">
        <v>759</v>
      </c>
      <c r="Q347" s="43">
        <v>46090</v>
      </c>
      <c r="R347" s="37"/>
      <c r="S347" s="45"/>
      <c r="T347" s="37"/>
    </row>
    <row r="348" spans="1:20" ht="210" x14ac:dyDescent="0.25">
      <c r="A348" s="10" t="s">
        <v>490</v>
      </c>
      <c r="B348" s="10" t="s">
        <v>491</v>
      </c>
      <c r="C348" s="10" t="s">
        <v>492</v>
      </c>
      <c r="D348" s="15">
        <v>31</v>
      </c>
      <c r="E348" s="10" t="s">
        <v>52</v>
      </c>
      <c r="F348" s="10" t="s">
        <v>51</v>
      </c>
      <c r="G348" s="4" t="s">
        <v>53</v>
      </c>
      <c r="H348" s="6" t="s">
        <v>493</v>
      </c>
      <c r="I348" s="1">
        <v>1</v>
      </c>
      <c r="J348" s="1">
        <v>4</v>
      </c>
      <c r="K348" s="16">
        <f>Tableau1434567[[#This Row],[Fréquence]]*Tableau1434567[[#This Row],[Gravité]]</f>
        <v>4</v>
      </c>
      <c r="L348" s="6" t="s">
        <v>608</v>
      </c>
      <c r="M348" s="1">
        <v>0.5</v>
      </c>
      <c r="N348" s="2">
        <f>Tableau1434567[[#This Row],[Moyen de Maitrise]]*Tableau1434567[[#This Row],[Priorité initiale]]</f>
        <v>2</v>
      </c>
      <c r="O348" s="17" t="str">
        <f>IF(AND(N348&gt;=0,N348&lt;4),"P3",IF(AND(N348&gt;=4,N348&lt;=8),"P2",IF(N348&gt;8,"P1","")))</f>
        <v>P3</v>
      </c>
      <c r="P348" s="10" t="s">
        <v>609</v>
      </c>
    </row>
    <row r="349" spans="1:20" ht="60" x14ac:dyDescent="0.25">
      <c r="A349" s="10" t="s">
        <v>614</v>
      </c>
      <c r="B349" s="10" t="s">
        <v>615</v>
      </c>
      <c r="C349" s="10" t="s">
        <v>633</v>
      </c>
      <c r="D349" s="15">
        <v>31</v>
      </c>
      <c r="E349" s="10" t="s">
        <v>52</v>
      </c>
      <c r="F349" s="10" t="s">
        <v>51</v>
      </c>
      <c r="G349" s="4" t="s">
        <v>712</v>
      </c>
      <c r="H349" s="6" t="s">
        <v>617</v>
      </c>
      <c r="I349" s="1">
        <v>1</v>
      </c>
      <c r="J349" s="1">
        <v>3</v>
      </c>
      <c r="K349" s="16">
        <f>Tableau1434567[[#This Row],[Fréquence]]*Tableau1434567[[#This Row],[Gravité]]</f>
        <v>3</v>
      </c>
      <c r="L349" s="6" t="s">
        <v>713</v>
      </c>
      <c r="M349" s="1">
        <v>0.75</v>
      </c>
      <c r="N349" s="2">
        <f>Tableau1434567[[#This Row],[Moyen de Maitrise]]*Tableau1434567[[#This Row],[Priorité initiale]]</f>
        <v>2.25</v>
      </c>
      <c r="O349" s="17" t="str">
        <f>IF(AND(N349&gt;=0,N349&lt;4),"P3",IF(AND(N349&gt;=4,N349&lt;=8),"P2",IF(N349&gt;8,"P1","")))</f>
        <v>P3</v>
      </c>
      <c r="P349" s="10" t="s">
        <v>714</v>
      </c>
    </row>
    <row r="350" spans="1:20" ht="60" x14ac:dyDescent="0.25">
      <c r="A350" s="10" t="s">
        <v>305</v>
      </c>
      <c r="B350" s="10" t="s">
        <v>306</v>
      </c>
      <c r="C350" s="10" t="s">
        <v>307</v>
      </c>
      <c r="D350" s="15">
        <v>32</v>
      </c>
      <c r="E350" s="10" t="s">
        <v>65</v>
      </c>
      <c r="F350" s="10" t="s">
        <v>64</v>
      </c>
      <c r="G350" s="4" t="s">
        <v>63</v>
      </c>
      <c r="H350" s="6" t="s">
        <v>308</v>
      </c>
      <c r="I350" s="1">
        <v>3</v>
      </c>
      <c r="J350" s="1">
        <v>2</v>
      </c>
      <c r="K350" s="16">
        <f>Tableau1434567[[#This Row],[Fréquence]]*Tableau1434567[[#This Row],[Gravité]]</f>
        <v>6</v>
      </c>
      <c r="L350" s="6" t="s">
        <v>429</v>
      </c>
      <c r="M350" s="1">
        <v>0.5</v>
      </c>
      <c r="N350" s="2">
        <f>Tableau1434567[[#This Row],[Priorité initiale]]*Tableau1434567[[#This Row],[Moyen de Maitrise]]</f>
        <v>3</v>
      </c>
      <c r="O350" s="17" t="str">
        <f>IF(AND(N350&gt;=0,N350&lt;4),"P3",IF(AND(N350&gt;=4,N350&lt;=8),"P2",IF(N350&gt;8,"P1","")))</f>
        <v>P3</v>
      </c>
      <c r="P350" s="10"/>
      <c r="Q350" s="9"/>
    </row>
    <row r="351" spans="1:20" ht="30" x14ac:dyDescent="0.25">
      <c r="A351" s="10" t="s">
        <v>614</v>
      </c>
      <c r="B351" s="10" t="s">
        <v>615</v>
      </c>
      <c r="C351" s="10" t="s">
        <v>616</v>
      </c>
      <c r="D351" s="15">
        <v>32</v>
      </c>
      <c r="E351" s="10" t="s">
        <v>65</v>
      </c>
      <c r="F351" s="10" t="s">
        <v>64</v>
      </c>
      <c r="G351" s="4" t="s">
        <v>63</v>
      </c>
      <c r="H351" s="6" t="s">
        <v>617</v>
      </c>
      <c r="I351" s="1">
        <v>2</v>
      </c>
      <c r="J351" s="1">
        <v>1</v>
      </c>
      <c r="K351" s="16">
        <f>Tableau1434567[[#This Row],[Fréquence]]*Tableau1434567[[#This Row],[Gravité]]</f>
        <v>2</v>
      </c>
      <c r="L351" s="6" t="s">
        <v>26</v>
      </c>
      <c r="M351" s="1">
        <v>1</v>
      </c>
      <c r="N351" s="2">
        <f>Tableau1434567[[#This Row],[Moyen de Maitrise]]*Tableau1434567[[#This Row],[Priorité initiale]]</f>
        <v>2</v>
      </c>
      <c r="O351" s="17" t="str">
        <f>IF(AND(N351&gt;=0,N351&lt;4),"P3",IF(AND(N351&gt;=4,N351&lt;=8),"P2",IF(N351&gt;8,"P1","")))</f>
        <v>P3</v>
      </c>
      <c r="P351" s="10"/>
    </row>
    <row r="352" spans="1:20" ht="30" x14ac:dyDescent="0.25">
      <c r="A352" s="10" t="s">
        <v>305</v>
      </c>
      <c r="B352" s="10" t="s">
        <v>306</v>
      </c>
      <c r="C352" s="10" t="s">
        <v>307</v>
      </c>
      <c r="D352" s="15">
        <v>33</v>
      </c>
      <c r="E352" s="10" t="s">
        <v>3</v>
      </c>
      <c r="F352" s="10" t="s">
        <v>4</v>
      </c>
      <c r="G352" s="4" t="s">
        <v>435</v>
      </c>
      <c r="H352" s="6" t="s">
        <v>308</v>
      </c>
      <c r="I352" s="1">
        <v>2</v>
      </c>
      <c r="J352" s="1">
        <v>3</v>
      </c>
      <c r="K352" s="16">
        <f>Tableau1434567[[#This Row],[Fréquence]]*Tableau1434567[[#This Row],[Gravité]]</f>
        <v>6</v>
      </c>
      <c r="L352" s="6" t="s">
        <v>436</v>
      </c>
      <c r="M352" s="1">
        <v>0.5</v>
      </c>
      <c r="N352" s="2">
        <f>Tableau1434567[[#This Row],[Priorité initiale]]*Tableau1434567[[#This Row],[Moyen de Maitrise]]</f>
        <v>3</v>
      </c>
      <c r="O352" s="17" t="str">
        <f>IF(AND(N352&gt;=0,N352&lt;4),"P3",IF(AND(N352&gt;=4,N352&lt;=8),"P2",IF(N352&gt;8,"P1","")))</f>
        <v>P3</v>
      </c>
      <c r="P352" s="10" t="s">
        <v>824</v>
      </c>
      <c r="R352" s="14"/>
    </row>
    <row r="353" spans="1:20" ht="30" x14ac:dyDescent="0.25">
      <c r="A353" s="10" t="s">
        <v>305</v>
      </c>
      <c r="B353" s="10" t="s">
        <v>306</v>
      </c>
      <c r="C353" s="10" t="s">
        <v>307</v>
      </c>
      <c r="D353" s="15">
        <v>33</v>
      </c>
      <c r="E353" s="10" t="s">
        <v>3</v>
      </c>
      <c r="F353" s="10" t="s">
        <v>437</v>
      </c>
      <c r="G353" s="4" t="s">
        <v>435</v>
      </c>
      <c r="H353" s="6" t="s">
        <v>308</v>
      </c>
      <c r="I353" s="1">
        <v>2</v>
      </c>
      <c r="J353" s="1">
        <v>3</v>
      </c>
      <c r="K353" s="16">
        <f>Tableau1434567[[#This Row],[Fréquence]]*Tableau1434567[[#This Row],[Gravité]]</f>
        <v>6</v>
      </c>
      <c r="L353" s="6" t="s">
        <v>438</v>
      </c>
      <c r="M353" s="1">
        <v>0.5</v>
      </c>
      <c r="N353" s="2">
        <f>Tableau1434567[[#This Row],[Priorité initiale]]*Tableau1434567[[#This Row],[Moyen de Maitrise]]</f>
        <v>3</v>
      </c>
      <c r="O353" s="17" t="str">
        <f>IF(AND(N353&gt;=0,N353&lt;4),"P3",IF(AND(N353&gt;=4,N353&lt;=8),"P2",IF(N353&gt;8,"P1","")))</f>
        <v>P3</v>
      </c>
      <c r="P353" s="10" t="s">
        <v>824</v>
      </c>
      <c r="R353" s="14"/>
    </row>
    <row r="354" spans="1:20" ht="90" x14ac:dyDescent="0.25">
      <c r="A354" s="10" t="s">
        <v>751</v>
      </c>
      <c r="B354" s="10" t="s">
        <v>752</v>
      </c>
      <c r="C354" s="10" t="s">
        <v>753</v>
      </c>
      <c r="D354" s="15">
        <v>33</v>
      </c>
      <c r="E354" s="10" t="s">
        <v>3</v>
      </c>
      <c r="F354" s="10" t="s">
        <v>431</v>
      </c>
      <c r="G354" s="33" t="s">
        <v>432</v>
      </c>
      <c r="H354" s="35" t="s">
        <v>755</v>
      </c>
      <c r="I354" s="37">
        <v>3</v>
      </c>
      <c r="J354" s="37">
        <v>2</v>
      </c>
      <c r="K354" s="39">
        <f>I354*J354</f>
        <v>6</v>
      </c>
      <c r="L354" s="35" t="s">
        <v>785</v>
      </c>
      <c r="M354" s="37">
        <v>0.5</v>
      </c>
      <c r="N354" s="41">
        <f>K354*M354</f>
        <v>3</v>
      </c>
      <c r="O354" s="17" t="str">
        <f>IF(AND(N354&gt;=0,N354&lt;4),"P3",IF(AND(N354&gt;=4,N354&lt;=8),"P2",IF(N354&gt;8,"P1","")))</f>
        <v>P3</v>
      </c>
      <c r="P354" s="10" t="s">
        <v>786</v>
      </c>
      <c r="Q354" s="35"/>
      <c r="R354" s="37"/>
      <c r="S354" s="37"/>
      <c r="T354" s="37"/>
    </row>
    <row r="355" spans="1:20" ht="90" x14ac:dyDescent="0.25">
      <c r="A355" s="10" t="s">
        <v>305</v>
      </c>
      <c r="B355" s="10" t="s">
        <v>306</v>
      </c>
      <c r="C355" s="10" t="s">
        <v>307</v>
      </c>
      <c r="D355" s="15">
        <v>34</v>
      </c>
      <c r="E355" s="10" t="s">
        <v>57</v>
      </c>
      <c r="F355" s="10" t="s">
        <v>442</v>
      </c>
      <c r="G355" s="33" t="s">
        <v>443</v>
      </c>
      <c r="H355" s="35" t="s">
        <v>308</v>
      </c>
      <c r="I355" s="37">
        <v>1</v>
      </c>
      <c r="J355" s="37">
        <v>4</v>
      </c>
      <c r="K355" s="16">
        <f>Tableau1434567[[#This Row],[Fréquence]]*Tableau1434567[[#This Row],[Gravité]]</f>
        <v>4</v>
      </c>
      <c r="L355" s="35" t="s">
        <v>444</v>
      </c>
      <c r="M355" s="37">
        <v>0.5</v>
      </c>
      <c r="N355" s="2">
        <f>Tableau1434567[[#This Row],[Priorité initiale]]*Tableau1434567[[#This Row],[Moyen de Maitrise]]</f>
        <v>2</v>
      </c>
      <c r="O355" s="17" t="str">
        <f>IF(AND(N355&gt;=0,N355&lt;4),"P3",IF(AND(N355&gt;=4,N355&lt;=8),"P2",IF(N355&gt;8,"P1","")))</f>
        <v>P3</v>
      </c>
      <c r="P355" s="10"/>
      <c r="Q355" s="37"/>
      <c r="R355" s="45"/>
      <c r="S355" s="37"/>
      <c r="T355" s="37"/>
    </row>
    <row r="356" spans="1:20" ht="45" x14ac:dyDescent="0.25">
      <c r="A356" s="10" t="s">
        <v>614</v>
      </c>
      <c r="B356" s="10" t="s">
        <v>615</v>
      </c>
      <c r="C356" s="10" t="s">
        <v>616</v>
      </c>
      <c r="D356" s="15">
        <v>34</v>
      </c>
      <c r="E356" s="10" t="s">
        <v>57</v>
      </c>
      <c r="F356" s="10" t="s">
        <v>697</v>
      </c>
      <c r="G356" s="33" t="s">
        <v>698</v>
      </c>
      <c r="H356" s="35" t="s">
        <v>617</v>
      </c>
      <c r="I356" s="37">
        <v>1</v>
      </c>
      <c r="J356" s="37">
        <v>4</v>
      </c>
      <c r="K356" s="16">
        <f>Tableau1434567[[#This Row],[Fréquence]]*Tableau1434567[[#This Row],[Gravité]]</f>
        <v>4</v>
      </c>
      <c r="L356" s="35" t="s">
        <v>699</v>
      </c>
      <c r="M356" s="37">
        <v>0.75</v>
      </c>
      <c r="N356" s="2">
        <f>Tableau1434567[[#This Row],[Moyen de Maitrise]]*Tableau1434567[[#This Row],[Priorité initiale]]</f>
        <v>3</v>
      </c>
      <c r="O356" s="17" t="str">
        <f>IF(AND(N356&gt;=0,N356&lt;4),"P3",IF(AND(N356&gt;=4,N356&lt;=8),"P2",IF(N356&gt;8,"P1","")))</f>
        <v>P3</v>
      </c>
      <c r="P356" s="10" t="s">
        <v>700</v>
      </c>
      <c r="Q356" s="37"/>
      <c r="R356" s="37"/>
      <c r="S356" s="37"/>
      <c r="T356" s="37"/>
    </row>
    <row r="357" spans="1:20" ht="45" x14ac:dyDescent="0.25">
      <c r="A357" s="10" t="s">
        <v>614</v>
      </c>
      <c r="B357" s="10" t="s">
        <v>615</v>
      </c>
      <c r="C357" s="10" t="s">
        <v>616</v>
      </c>
      <c r="D357" s="15">
        <v>34</v>
      </c>
      <c r="E357" s="10" t="s">
        <v>57</v>
      </c>
      <c r="F357" s="10" t="s">
        <v>439</v>
      </c>
      <c r="G357" s="33" t="s">
        <v>709</v>
      </c>
      <c r="H357" s="35" t="s">
        <v>617</v>
      </c>
      <c r="I357" s="37">
        <v>1</v>
      </c>
      <c r="J357" s="37">
        <v>3</v>
      </c>
      <c r="K357" s="47">
        <f>Tableau1434567[[#This Row],[Fréquence]]*Tableau1434567[[#This Row],[Gravité]]</f>
        <v>3</v>
      </c>
      <c r="L357" s="35" t="s">
        <v>710</v>
      </c>
      <c r="M357" s="37">
        <v>0.75</v>
      </c>
      <c r="N357" s="48">
        <f>Tableau1434567[[#This Row],[Moyen de Maitrise]]*Tableau1434567[[#This Row],[Priorité initiale]]</f>
        <v>2.25</v>
      </c>
      <c r="O357" s="17" t="str">
        <f>IF(AND(N357&gt;=0,N357&lt;4),"P3",IF(AND(N357&gt;=4,N357&lt;=8),"P2",IF(N357&gt;8,"P1","")))</f>
        <v>P3</v>
      </c>
      <c r="P357" s="10" t="s">
        <v>711</v>
      </c>
      <c r="Q357" s="37"/>
      <c r="R357" s="37"/>
      <c r="S357" s="37"/>
      <c r="T357" s="37"/>
    </row>
    <row r="358" spans="1:20" ht="90" x14ac:dyDescent="0.25">
      <c r="A358" s="10" t="s">
        <v>305</v>
      </c>
      <c r="B358" s="10" t="s">
        <v>306</v>
      </c>
      <c r="C358" s="10" t="s">
        <v>307</v>
      </c>
      <c r="D358" s="15">
        <v>35</v>
      </c>
      <c r="E358" s="10" t="s">
        <v>49</v>
      </c>
      <c r="F358" s="10" t="s">
        <v>48</v>
      </c>
      <c r="G358" s="33" t="s">
        <v>47</v>
      </c>
      <c r="H358" s="35" t="s">
        <v>308</v>
      </c>
      <c r="I358" s="37">
        <v>1</v>
      </c>
      <c r="J358" s="37">
        <v>3</v>
      </c>
      <c r="K358" s="47">
        <f>Tableau1434567[[#This Row],[Fréquence]]*Tableau1434567[[#This Row],[Gravité]]</f>
        <v>3</v>
      </c>
      <c r="L358" s="35" t="s">
        <v>445</v>
      </c>
      <c r="M358" s="37">
        <v>0.75</v>
      </c>
      <c r="N358" s="48">
        <f>Tableau1434567[[#This Row],[Priorité initiale]]*Tableau1434567[[#This Row],[Moyen de Maitrise]]</f>
        <v>2.25</v>
      </c>
      <c r="O358" s="17" t="str">
        <f>IF(AND(N358&gt;=0,N358&lt;4),"P3",IF(AND(N358&gt;=4,N358&lt;=8),"P2",IF(N358&gt;8,"P1","")))</f>
        <v>P3</v>
      </c>
      <c r="P358" s="10"/>
      <c r="Q358" s="37"/>
      <c r="R358" s="37"/>
      <c r="S358" s="37"/>
      <c r="T358" s="37"/>
    </row>
    <row r="359" spans="1:20" ht="90" x14ac:dyDescent="0.25">
      <c r="A359" s="10" t="s">
        <v>490</v>
      </c>
      <c r="B359" s="10" t="s">
        <v>491</v>
      </c>
      <c r="C359" s="10" t="s">
        <v>492</v>
      </c>
      <c r="D359" s="15">
        <v>35</v>
      </c>
      <c r="E359" s="10" t="s">
        <v>49</v>
      </c>
      <c r="F359" s="10" t="s">
        <v>48</v>
      </c>
      <c r="G359" s="33" t="s">
        <v>47</v>
      </c>
      <c r="H359" s="35" t="s">
        <v>493</v>
      </c>
      <c r="I359" s="37">
        <v>1</v>
      </c>
      <c r="J359" s="37">
        <v>3</v>
      </c>
      <c r="K359" s="47">
        <f>Tableau1434567[[#This Row],[Fréquence]]*Tableau1434567[[#This Row],[Gravité]]</f>
        <v>3</v>
      </c>
      <c r="L359" s="35" t="s">
        <v>46</v>
      </c>
      <c r="M359" s="37">
        <v>0.75</v>
      </c>
      <c r="N359" s="48">
        <f>Tableau1434567[[#This Row],[Moyen de Maitrise]]*Tableau1434567[[#This Row],[Priorité initiale]]</f>
        <v>2.25</v>
      </c>
      <c r="O359" s="17" t="str">
        <f>IF(AND(N359&gt;=0,N359&lt;4),"P3",IF(AND(N359&gt;=4,N359&lt;=8),"P2",IF(N359&gt;8,"P1","")))</f>
        <v>P3</v>
      </c>
      <c r="P359" s="10" t="s">
        <v>45</v>
      </c>
      <c r="Q359" s="37"/>
      <c r="R359" s="37"/>
      <c r="S359" s="37"/>
      <c r="T359" s="37"/>
    </row>
    <row r="360" spans="1:20" ht="90" x14ac:dyDescent="0.25">
      <c r="A360" s="10" t="s">
        <v>614</v>
      </c>
      <c r="B360" s="10" t="s">
        <v>615</v>
      </c>
      <c r="C360" s="10" t="s">
        <v>616</v>
      </c>
      <c r="D360" s="15">
        <v>35</v>
      </c>
      <c r="E360" s="10" t="s">
        <v>49</v>
      </c>
      <c r="F360" s="10" t="s">
        <v>48</v>
      </c>
      <c r="G360" s="33" t="s">
        <v>47</v>
      </c>
      <c r="H360" s="35" t="s">
        <v>617</v>
      </c>
      <c r="I360" s="37">
        <v>1</v>
      </c>
      <c r="J360" s="37">
        <v>3</v>
      </c>
      <c r="K360" s="47">
        <f>Tableau1434567[[#This Row],[Fréquence]]*Tableau1434567[[#This Row],[Gravité]]</f>
        <v>3</v>
      </c>
      <c r="L360" s="35" t="s">
        <v>46</v>
      </c>
      <c r="M360" s="37">
        <v>0.75</v>
      </c>
      <c r="N360" s="48">
        <f>Tableau1434567[[#This Row],[Moyen de Maitrise]]*Tableau1434567[[#This Row],[Priorité initiale]]</f>
        <v>2.25</v>
      </c>
      <c r="O360" s="17" t="str">
        <f>IF(AND(N360&gt;=0,N360&lt;4),"P3",IF(AND(N360&gt;=4,N360&lt;=8),"P2",IF(N360&gt;8,"P1","")))</f>
        <v>P3</v>
      </c>
      <c r="P360" s="10" t="s">
        <v>45</v>
      </c>
      <c r="Q360" s="37"/>
      <c r="R360" s="37"/>
      <c r="S360" s="37"/>
      <c r="T360" s="37"/>
    </row>
    <row r="361" spans="1:20" ht="90" x14ac:dyDescent="0.25">
      <c r="A361" s="10" t="s">
        <v>751</v>
      </c>
      <c r="B361" s="10" t="s">
        <v>752</v>
      </c>
      <c r="C361" s="10" t="s">
        <v>753</v>
      </c>
      <c r="D361" s="15">
        <v>35</v>
      </c>
      <c r="E361" s="10" t="s">
        <v>49</v>
      </c>
      <c r="F361" s="10" t="s">
        <v>48</v>
      </c>
      <c r="G361" s="34" t="s">
        <v>47</v>
      </c>
      <c r="H361" s="36" t="s">
        <v>755</v>
      </c>
      <c r="I361" s="38">
        <v>1</v>
      </c>
      <c r="J361" s="38">
        <v>3</v>
      </c>
      <c r="K361" s="39">
        <f>I361*J361</f>
        <v>3</v>
      </c>
      <c r="L361" s="36" t="s">
        <v>816</v>
      </c>
      <c r="M361" s="38">
        <v>0.75</v>
      </c>
      <c r="N361" s="41">
        <f>K361*M361</f>
        <v>2.25</v>
      </c>
      <c r="O361" s="17" t="str">
        <f>IF(AND(N361&gt;=0,N361&lt;4),"P3",IF(AND(N361&gt;=4,N361&lt;=8),"P2",IF(N361&gt;8,"P1","")))</f>
        <v>P3</v>
      </c>
      <c r="P361" s="10" t="s">
        <v>817</v>
      </c>
      <c r="Q361" s="44">
        <v>46090</v>
      </c>
      <c r="R361" s="38"/>
      <c r="S361" s="38"/>
      <c r="T361" s="38"/>
    </row>
    <row r="362" spans="1:20" ht="105" x14ac:dyDescent="0.25">
      <c r="A362" s="10" t="s">
        <v>490</v>
      </c>
      <c r="B362" s="10" t="s">
        <v>491</v>
      </c>
      <c r="C362" s="10" t="s">
        <v>492</v>
      </c>
      <c r="D362" s="15">
        <v>36</v>
      </c>
      <c r="E362" s="10" t="s">
        <v>43</v>
      </c>
      <c r="F362" s="10" t="s">
        <v>42</v>
      </c>
      <c r="G362" s="33" t="s">
        <v>41</v>
      </c>
      <c r="H362" s="35" t="s">
        <v>493</v>
      </c>
      <c r="I362" s="37">
        <v>2</v>
      </c>
      <c r="J362" s="37">
        <v>3</v>
      </c>
      <c r="K362" s="47">
        <f>Tableau1434567[[#This Row],[Fréquence]]*Tableau1434567[[#This Row],[Gravité]]</f>
        <v>6</v>
      </c>
      <c r="L362" s="35" t="s">
        <v>577</v>
      </c>
      <c r="M362" s="37">
        <v>0.5</v>
      </c>
      <c r="N362" s="48">
        <f>Tableau1434567[[#This Row],[Moyen de Maitrise]]*Tableau1434567[[#This Row],[Priorité initiale]]</f>
        <v>3</v>
      </c>
      <c r="O362" s="17" t="str">
        <f>IF(AND(N362&gt;=0,N362&lt;4),"P3",IF(AND(N362&gt;=4,N362&lt;=8),"P2",IF(N362&gt;8,"P1","")))</f>
        <v>P3</v>
      </c>
      <c r="P362" s="10" t="s">
        <v>578</v>
      </c>
      <c r="Q362" s="37"/>
      <c r="R362" s="37"/>
      <c r="S362" s="37"/>
      <c r="T362" s="37"/>
    </row>
    <row r="363" spans="1:20" ht="105" x14ac:dyDescent="0.25">
      <c r="A363" s="10" t="s">
        <v>614</v>
      </c>
      <c r="B363" s="10" t="s">
        <v>615</v>
      </c>
      <c r="C363" s="10" t="s">
        <v>633</v>
      </c>
      <c r="D363" s="15">
        <v>36</v>
      </c>
      <c r="E363" s="10" t="s">
        <v>43</v>
      </c>
      <c r="F363" s="10" t="s">
        <v>42</v>
      </c>
      <c r="G363" s="33" t="s">
        <v>41</v>
      </c>
      <c r="H363" s="35" t="s">
        <v>617</v>
      </c>
      <c r="I363" s="37">
        <v>1</v>
      </c>
      <c r="J363" s="37">
        <v>4</v>
      </c>
      <c r="K363" s="47">
        <f>Tableau1434567[[#This Row],[Fréquence]]*Tableau1434567[[#This Row],[Gravité]]</f>
        <v>4</v>
      </c>
      <c r="L363" s="35" t="s">
        <v>705</v>
      </c>
      <c r="M363" s="37">
        <v>0.75</v>
      </c>
      <c r="N363" s="48">
        <f>Tableau1434567[[#This Row],[Moyen de Maitrise]]*Tableau1434567[[#This Row],[Priorité initiale]]</f>
        <v>3</v>
      </c>
      <c r="O363" s="17" t="str">
        <f>IF(AND(N363&gt;=0,N363&lt;4),"P3",IF(AND(N363&gt;=4,N363&lt;=8),"P2",IF(N363&gt;8,"P1","")))</f>
        <v>P3</v>
      </c>
      <c r="P363" s="10" t="s">
        <v>578</v>
      </c>
      <c r="Q363" s="37"/>
      <c r="R363" s="37"/>
      <c r="S363" s="37"/>
      <c r="T363" s="37"/>
    </row>
    <row r="364" spans="1:20" ht="45" x14ac:dyDescent="0.25">
      <c r="A364" s="10" t="s">
        <v>614</v>
      </c>
      <c r="B364" s="10" t="s">
        <v>615</v>
      </c>
      <c r="C364" s="10" t="s">
        <v>616</v>
      </c>
      <c r="D364" s="15">
        <v>36</v>
      </c>
      <c r="E364" s="10" t="s">
        <v>43</v>
      </c>
      <c r="F364" s="10" t="s">
        <v>733</v>
      </c>
      <c r="G364" s="33" t="s">
        <v>734</v>
      </c>
      <c r="H364" s="35" t="s">
        <v>617</v>
      </c>
      <c r="I364" s="37">
        <v>1</v>
      </c>
      <c r="J364" s="37">
        <v>3</v>
      </c>
      <c r="K364" s="47">
        <f>Tableau1434567[[#This Row],[Fréquence]]*Tableau1434567[[#This Row],[Gravité]]</f>
        <v>3</v>
      </c>
      <c r="L364" s="35" t="s">
        <v>735</v>
      </c>
      <c r="M364" s="37">
        <v>0.5</v>
      </c>
      <c r="N364" s="48">
        <f>Tableau1434567[[#This Row],[Moyen de Maitrise]]*Tableau1434567[[#This Row],[Priorité initiale]]</f>
        <v>1.5</v>
      </c>
      <c r="O364" s="17" t="str">
        <f>IF(AND(N364&gt;=0,N364&lt;4),"P3",IF(AND(N364&gt;=4,N364&lt;=8),"P2",IF(N364&gt;8,"P1","")))</f>
        <v>P3</v>
      </c>
      <c r="P364" s="10" t="s">
        <v>736</v>
      </c>
      <c r="Q364" s="37"/>
      <c r="R364" s="37"/>
      <c r="S364" s="37"/>
      <c r="T364" s="37"/>
    </row>
    <row r="365" spans="1:20" ht="45" x14ac:dyDescent="0.25">
      <c r="A365" s="10" t="s">
        <v>751</v>
      </c>
      <c r="B365" s="10" t="s">
        <v>752</v>
      </c>
      <c r="C365" s="10" t="s">
        <v>779</v>
      </c>
      <c r="D365" s="15">
        <v>36</v>
      </c>
      <c r="E365" s="10" t="s">
        <v>43</v>
      </c>
      <c r="F365" s="10" t="s">
        <v>629</v>
      </c>
      <c r="G365" s="33" t="s">
        <v>630</v>
      </c>
      <c r="H365" s="35" t="s">
        <v>755</v>
      </c>
      <c r="I365" s="37">
        <v>1</v>
      </c>
      <c r="J365" s="37">
        <v>4</v>
      </c>
      <c r="K365" s="39">
        <f>I365*J365</f>
        <v>4</v>
      </c>
      <c r="L365" s="35" t="s">
        <v>796</v>
      </c>
      <c r="M365" s="37">
        <v>0.75</v>
      </c>
      <c r="N365" s="41">
        <f>K365*M365</f>
        <v>3</v>
      </c>
      <c r="O365" s="17" t="str">
        <f>IF(AND(N365&gt;=0,N365&lt;4),"P3",IF(AND(N365&gt;=4,N365&lt;=8),"P2",IF(N365&gt;8,"P1","")))</f>
        <v>P3</v>
      </c>
      <c r="P365" s="10" t="s">
        <v>797</v>
      </c>
      <c r="Q365" s="35"/>
      <c r="R365" s="37"/>
      <c r="S365" s="37"/>
      <c r="T365" s="37"/>
    </row>
    <row r="366" spans="1:20" ht="30" x14ac:dyDescent="0.25">
      <c r="A366" s="10" t="s">
        <v>305</v>
      </c>
      <c r="B366" s="10" t="s">
        <v>306</v>
      </c>
      <c r="C366" s="10" t="s">
        <v>307</v>
      </c>
      <c r="D366" s="15">
        <v>37</v>
      </c>
      <c r="E366" s="10" t="s">
        <v>37</v>
      </c>
      <c r="F366" s="10" t="s">
        <v>448</v>
      </c>
      <c r="G366" s="33" t="s">
        <v>449</v>
      </c>
      <c r="H366" s="35" t="s">
        <v>308</v>
      </c>
      <c r="I366" s="37">
        <v>2</v>
      </c>
      <c r="J366" s="37">
        <v>3</v>
      </c>
      <c r="K366" s="47">
        <f>Tableau1434567[[#This Row],[Fréquence]]*Tableau1434567[[#This Row],[Gravité]]</f>
        <v>6</v>
      </c>
      <c r="L366" s="35" t="s">
        <v>450</v>
      </c>
      <c r="M366" s="37">
        <v>0.5</v>
      </c>
      <c r="N366" s="48">
        <f>Tableau1434567[[#This Row],[Priorité initiale]]*Tableau1434567[[#This Row],[Moyen de Maitrise]]</f>
        <v>3</v>
      </c>
      <c r="O366" s="17" t="str">
        <f>IF(AND(N366&gt;=0,N366&lt;4),"P3",IF(AND(N366&gt;=4,N366&lt;=8),"P2",IF(N366&gt;8,"P1","")))</f>
        <v>P3</v>
      </c>
      <c r="P366" s="10"/>
      <c r="Q366" s="37"/>
      <c r="R366" s="37"/>
      <c r="S366" s="37"/>
      <c r="T366" s="37"/>
    </row>
    <row r="367" spans="1:20" ht="30" x14ac:dyDescent="0.25">
      <c r="A367" s="10" t="s">
        <v>305</v>
      </c>
      <c r="B367" s="10" t="s">
        <v>306</v>
      </c>
      <c r="C367" s="10" t="s">
        <v>307</v>
      </c>
      <c r="D367" s="15">
        <v>37</v>
      </c>
      <c r="E367" s="10" t="s">
        <v>37</v>
      </c>
      <c r="F367" s="10" t="s">
        <v>451</v>
      </c>
      <c r="G367" s="33" t="s">
        <v>452</v>
      </c>
      <c r="H367" s="35" t="s">
        <v>308</v>
      </c>
      <c r="I367" s="37">
        <v>2</v>
      </c>
      <c r="J367" s="37">
        <v>3</v>
      </c>
      <c r="K367" s="47">
        <f>Tableau1434567[[#This Row],[Fréquence]]*Tableau1434567[[#This Row],[Gravité]]</f>
        <v>6</v>
      </c>
      <c r="L367" s="35" t="s">
        <v>453</v>
      </c>
      <c r="M367" s="37">
        <v>0.5</v>
      </c>
      <c r="N367" s="48">
        <f>Tableau1434567[[#This Row],[Priorité initiale]]*Tableau1434567[[#This Row],[Moyen de Maitrise]]</f>
        <v>3</v>
      </c>
      <c r="O367" s="17" t="str">
        <f>IF(AND(N367&gt;=0,N367&lt;4),"P3",IF(AND(N367&gt;=4,N367&lt;=8),"P2",IF(N367&gt;8,"P1","")))</f>
        <v>P3</v>
      </c>
      <c r="P367" s="10"/>
      <c r="Q367" s="37"/>
      <c r="R367" s="37"/>
      <c r="S367" s="37"/>
      <c r="T367" s="37"/>
    </row>
    <row r="368" spans="1:20" ht="30" x14ac:dyDescent="0.25">
      <c r="A368" s="10" t="s">
        <v>490</v>
      </c>
      <c r="B368" s="10" t="s">
        <v>491</v>
      </c>
      <c r="C368" s="10" t="s">
        <v>492</v>
      </c>
      <c r="D368" s="15">
        <v>37</v>
      </c>
      <c r="E368" s="10" t="s">
        <v>37</v>
      </c>
      <c r="F368" s="10" t="s">
        <v>40</v>
      </c>
      <c r="G368" s="33" t="s">
        <v>39</v>
      </c>
      <c r="H368" s="35" t="s">
        <v>493</v>
      </c>
      <c r="I368" s="37">
        <v>1</v>
      </c>
      <c r="J368" s="37">
        <v>2</v>
      </c>
      <c r="K368" s="47">
        <f>Tableau1434567[[#This Row],[Fréquence]]*Tableau1434567[[#This Row],[Gravité]]</f>
        <v>2</v>
      </c>
      <c r="L368" s="35" t="s">
        <v>26</v>
      </c>
      <c r="M368" s="37">
        <v>0.75</v>
      </c>
      <c r="N368" s="48">
        <f>Tableau1434567[[#This Row],[Moyen de Maitrise]]*Tableau1434567[[#This Row],[Priorité initiale]]</f>
        <v>1.5</v>
      </c>
      <c r="O368" s="17" t="str">
        <f>IF(AND(N368&gt;=0,N368&lt;4),"P3",IF(AND(N368&gt;=4,N368&lt;=8),"P2",IF(N368&gt;8,"P1","")))</f>
        <v>P3</v>
      </c>
      <c r="P368" s="10" t="s">
        <v>38</v>
      </c>
      <c r="Q368" s="37"/>
      <c r="R368" s="37"/>
      <c r="S368" s="37"/>
      <c r="T368" s="37"/>
    </row>
    <row r="369" spans="1:20" ht="45" x14ac:dyDescent="0.25">
      <c r="A369" s="10" t="s">
        <v>614</v>
      </c>
      <c r="B369" s="10" t="s">
        <v>615</v>
      </c>
      <c r="C369" s="10" t="s">
        <v>616</v>
      </c>
      <c r="D369" s="15">
        <v>37</v>
      </c>
      <c r="E369" s="10" t="s">
        <v>37</v>
      </c>
      <c r="F369" s="10" t="s">
        <v>448</v>
      </c>
      <c r="G369" s="33" t="s">
        <v>706</v>
      </c>
      <c r="H369" s="35" t="s">
        <v>617</v>
      </c>
      <c r="I369" s="37">
        <v>1</v>
      </c>
      <c r="J369" s="37">
        <v>4</v>
      </c>
      <c r="K369" s="47">
        <f>Tableau1434567[[#This Row],[Fréquence]]*Tableau1434567[[#This Row],[Gravité]]</f>
        <v>4</v>
      </c>
      <c r="L369" s="35" t="s">
        <v>707</v>
      </c>
      <c r="M369" s="37">
        <v>0.75</v>
      </c>
      <c r="N369" s="48">
        <f>Tableau1434567[[#This Row],[Moyen de Maitrise]]*Tableau1434567[[#This Row],[Priorité initiale]]</f>
        <v>3</v>
      </c>
      <c r="O369" s="17" t="str">
        <f>IF(AND(N369&gt;=0,N369&lt;4),"P3",IF(AND(N369&gt;=4,N369&lt;=8),"P2",IF(N369&gt;8,"P1","")))</f>
        <v>P3</v>
      </c>
      <c r="P369" s="10" t="s">
        <v>708</v>
      </c>
      <c r="Q369" s="37"/>
      <c r="R369" s="37"/>
      <c r="S369" s="37"/>
      <c r="T369" s="37"/>
    </row>
    <row r="370" spans="1:20" ht="75" x14ac:dyDescent="0.25">
      <c r="A370" s="10" t="s">
        <v>490</v>
      </c>
      <c r="B370" s="10" t="s">
        <v>491</v>
      </c>
      <c r="C370" s="10" t="s">
        <v>492</v>
      </c>
      <c r="D370" s="15">
        <v>40</v>
      </c>
      <c r="E370" s="10" t="s">
        <v>111</v>
      </c>
      <c r="F370" s="10" t="s">
        <v>597</v>
      </c>
      <c r="G370" s="4" t="s">
        <v>598</v>
      </c>
      <c r="H370" s="6" t="s">
        <v>493</v>
      </c>
      <c r="I370" s="1">
        <v>1</v>
      </c>
      <c r="J370" s="1">
        <v>4</v>
      </c>
      <c r="K370" s="16">
        <f>Tableau1434567[[#This Row],[Fréquence]]*Tableau1434567[[#This Row],[Gravité]]</f>
        <v>4</v>
      </c>
      <c r="L370" s="6" t="s">
        <v>599</v>
      </c>
      <c r="M370" s="1">
        <v>0.5</v>
      </c>
      <c r="N370" s="2">
        <f>Tableau1434567[[#This Row],[Moyen de Maitrise]]*Tableau1434567[[#This Row],[Priorité initiale]]</f>
        <v>2</v>
      </c>
      <c r="O370" s="17" t="str">
        <f>IF(AND(N370&gt;=0,N370&lt;4),"P3",IF(AND(N370&gt;=4,N370&lt;=8),"P2",IF(N370&gt;8,"P1","")))</f>
        <v>P3</v>
      </c>
      <c r="P370" s="10"/>
    </row>
    <row r="371" spans="1:20" ht="75" x14ac:dyDescent="0.25">
      <c r="A371" s="10" t="s">
        <v>751</v>
      </c>
      <c r="B371" s="10" t="s">
        <v>752</v>
      </c>
      <c r="C371" s="10" t="s">
        <v>779</v>
      </c>
      <c r="D371" s="15">
        <v>40</v>
      </c>
      <c r="E371" s="10" t="s">
        <v>111</v>
      </c>
      <c r="F371" s="10" t="s">
        <v>110</v>
      </c>
      <c r="G371" s="33" t="s">
        <v>109</v>
      </c>
      <c r="H371" s="35" t="s">
        <v>755</v>
      </c>
      <c r="I371" s="37">
        <v>1</v>
      </c>
      <c r="J371" s="37">
        <v>4</v>
      </c>
      <c r="K371" s="39">
        <f>I371*J371</f>
        <v>4</v>
      </c>
      <c r="L371" s="35" t="s">
        <v>794</v>
      </c>
      <c r="M371" s="37">
        <v>0.75</v>
      </c>
      <c r="N371" s="41">
        <f>K371*M371</f>
        <v>3</v>
      </c>
      <c r="O371" s="17" t="str">
        <f>IF(AND(N371&gt;=0,N371&lt;4),"P3",IF(AND(N371&gt;=4,N371&lt;=8),"P2",IF(N371&gt;8,"P1","")))</f>
        <v>P3</v>
      </c>
      <c r="P371" s="10" t="s">
        <v>795</v>
      </c>
      <c r="Q371" s="35"/>
      <c r="R371" s="37"/>
      <c r="S371" s="37"/>
      <c r="T371" s="37"/>
    </row>
    <row r="372" spans="1:20" ht="90" x14ac:dyDescent="0.25">
      <c r="A372" s="10" t="s">
        <v>305</v>
      </c>
      <c r="B372" s="10" t="s">
        <v>306</v>
      </c>
      <c r="C372" s="10" t="s">
        <v>307</v>
      </c>
      <c r="D372" s="15">
        <v>41</v>
      </c>
      <c r="E372" s="10" t="s">
        <v>478</v>
      </c>
      <c r="F372" s="10" t="s">
        <v>479</v>
      </c>
      <c r="G372" s="4" t="s">
        <v>480</v>
      </c>
      <c r="H372" s="6" t="s">
        <v>308</v>
      </c>
      <c r="K372" s="16">
        <f>Tableau1434567[[#This Row],[Fréquence]]*Tableau1434567[[#This Row],[Gravité]]</f>
        <v>0</v>
      </c>
      <c r="L372" s="6" t="s">
        <v>383</v>
      </c>
      <c r="N372" s="2">
        <f>Tableau1434567[[#This Row],[Priorité initiale]]*Tableau1434567[[#This Row],[Moyen de Maitrise]]</f>
        <v>0</v>
      </c>
      <c r="O372" s="17" t="str">
        <f>IF(AND(N372&gt;=0,N372&lt;4),"P3",IF(AND(N372&gt;=4,N372&lt;=8),"P2",IF(N372&gt;8,"P1","")))</f>
        <v>P3</v>
      </c>
      <c r="P372" s="10"/>
      <c r="Q372" s="9"/>
    </row>
    <row r="373" spans="1:20" ht="30" x14ac:dyDescent="0.25">
      <c r="A373" s="10" t="s">
        <v>305</v>
      </c>
      <c r="B373" s="10" t="s">
        <v>306</v>
      </c>
      <c r="C373" s="10" t="s">
        <v>307</v>
      </c>
      <c r="D373" s="15">
        <v>41</v>
      </c>
      <c r="E373" s="10" t="s">
        <v>478</v>
      </c>
      <c r="F373" s="10" t="s">
        <v>481</v>
      </c>
      <c r="G373" s="4" t="s">
        <v>482</v>
      </c>
      <c r="H373" s="6" t="s">
        <v>308</v>
      </c>
      <c r="I373" s="1">
        <v>1</v>
      </c>
      <c r="J373" s="1">
        <v>4</v>
      </c>
      <c r="K373" s="16">
        <f>Tableau1434567[[#This Row],[Fréquence]]*Tableau1434567[[#This Row],[Gravité]]</f>
        <v>4</v>
      </c>
      <c r="L373" s="6" t="s">
        <v>483</v>
      </c>
      <c r="M373" s="1">
        <v>0.5</v>
      </c>
      <c r="N373" s="2">
        <f>Tableau1434567[[#This Row],[Priorité initiale]]*Tableau1434567[[#This Row],[Moyen de Maitrise]]</f>
        <v>2</v>
      </c>
      <c r="O373" s="17" t="str">
        <f>IF(AND(N373&gt;=0,N373&lt;4),"P3",IF(AND(N373&gt;=4,N373&lt;=8),"P2",IF(N373&gt;8,"P1","")))</f>
        <v>P3</v>
      </c>
      <c r="P373" s="10"/>
      <c r="Q373" s="9"/>
    </row>
    <row r="374" spans="1:20" ht="135" x14ac:dyDescent="0.25">
      <c r="A374" s="4" t="s">
        <v>832</v>
      </c>
      <c r="B374" s="4" t="s">
        <v>833</v>
      </c>
      <c r="C374" s="4" t="s">
        <v>834</v>
      </c>
      <c r="D374" s="7">
        <v>1</v>
      </c>
      <c r="E374" s="4" t="s">
        <v>246</v>
      </c>
      <c r="F374" s="4" t="s">
        <v>245</v>
      </c>
      <c r="G374" s="4" t="s">
        <v>244</v>
      </c>
      <c r="H374" s="4" t="s">
        <v>838</v>
      </c>
      <c r="I374" s="1">
        <v>1</v>
      </c>
      <c r="J374" s="1">
        <v>4</v>
      </c>
      <c r="K374" s="1">
        <f>Tableau1434567[[#This Row],[Fréquence]]*Tableau1434567[[#This Row],[Gravité]]</f>
        <v>4</v>
      </c>
      <c r="L374" s="4" t="s">
        <v>853</v>
      </c>
      <c r="M374" s="1">
        <v>0.5</v>
      </c>
      <c r="N374" s="5">
        <f>Tableau1434567[[#This Row],[Priorité initiale]]*Tableau1434567[[#This Row],[Moyen de Maitrise]]</f>
        <v>2</v>
      </c>
      <c r="O374" s="17" t="str">
        <f>IF(AND(N374&gt;=0,N374&lt;4),"P3",IF(AND(N374&gt;=4,N374&lt;=8),"P2",IF(N374&gt;8,"P1","")))</f>
        <v>P3</v>
      </c>
      <c r="P374" s="4"/>
    </row>
    <row r="375" spans="1:20" ht="105" x14ac:dyDescent="0.25">
      <c r="A375" s="4" t="s">
        <v>832</v>
      </c>
      <c r="B375" s="4" t="s">
        <v>833</v>
      </c>
      <c r="C375" s="4" t="s">
        <v>834</v>
      </c>
      <c r="D375" s="7">
        <v>3</v>
      </c>
      <c r="E375" s="4" t="s">
        <v>232</v>
      </c>
      <c r="F375" s="4" t="s">
        <v>238</v>
      </c>
      <c r="G375" s="4" t="s">
        <v>237</v>
      </c>
      <c r="H375" s="4" t="s">
        <v>838</v>
      </c>
      <c r="I375" s="1">
        <v>2</v>
      </c>
      <c r="J375" s="1">
        <v>2</v>
      </c>
      <c r="K375" s="1">
        <f>Tableau1434567[[#This Row],[Fréquence]]*Tableau1434567[[#This Row],[Gravité]]</f>
        <v>4</v>
      </c>
      <c r="L375" s="4" t="s">
        <v>878</v>
      </c>
      <c r="M375" s="1">
        <v>0.5</v>
      </c>
      <c r="N375" s="5">
        <f>Tableau1434567[[#This Row],[Priorité initiale]]*Tableau1434567[[#This Row],[Moyen de Maitrise]]</f>
        <v>2</v>
      </c>
      <c r="O375" s="17" t="str">
        <f>IF(AND(N375&gt;=0,N375&lt;4),"P3",IF(AND(N375&gt;=4,N375&lt;=8),"P2",IF(N375&gt;8,"P1","")))</f>
        <v>P3</v>
      </c>
      <c r="P375" s="4"/>
    </row>
    <row r="376" spans="1:20" ht="60" x14ac:dyDescent="0.25">
      <c r="A376" s="4" t="s">
        <v>829</v>
      </c>
      <c r="B376" s="4" t="s">
        <v>830</v>
      </c>
      <c r="C376" s="4" t="s">
        <v>831</v>
      </c>
      <c r="D376" s="7">
        <v>3</v>
      </c>
      <c r="E376" s="4" t="s">
        <v>232</v>
      </c>
      <c r="F376" s="4" t="s">
        <v>240</v>
      </c>
      <c r="G376" s="4" t="s">
        <v>237</v>
      </c>
      <c r="H376" s="4" t="s">
        <v>10</v>
      </c>
      <c r="I376" s="1">
        <v>2</v>
      </c>
      <c r="J376" s="1">
        <v>3</v>
      </c>
      <c r="K376" s="1">
        <f>Tableau1434567[[#This Row],[Fréquence]]*Tableau1434567[[#This Row],[Gravité]]</f>
        <v>6</v>
      </c>
      <c r="L376" s="4" t="s">
        <v>610</v>
      </c>
      <c r="M376" s="1">
        <v>0.5</v>
      </c>
      <c r="N376" s="5">
        <f>Tableau1434567[[#This Row],[Priorité initiale]]*Tableau1434567[[#This Row],[Moyen de Maitrise]]</f>
        <v>3</v>
      </c>
      <c r="O376" s="17" t="str">
        <f>IF(AND(N376&gt;=0,N376&lt;4),"P3",IF(AND(N376&gt;=4,N376&lt;=8),"P2",IF(N376&gt;8,"P1","")))</f>
        <v>P3</v>
      </c>
      <c r="P376" s="4" t="s">
        <v>882</v>
      </c>
    </row>
    <row r="377" spans="1:20" ht="45" x14ac:dyDescent="0.25">
      <c r="A377" s="4" t="s">
        <v>832</v>
      </c>
      <c r="B377" s="4" t="s">
        <v>833</v>
      </c>
      <c r="C377" s="4" t="s">
        <v>834</v>
      </c>
      <c r="D377" s="7">
        <v>5</v>
      </c>
      <c r="E377" s="4" t="s">
        <v>209</v>
      </c>
      <c r="F377" s="4" t="s">
        <v>808</v>
      </c>
      <c r="G377" s="4" t="s">
        <v>809</v>
      </c>
      <c r="H377" s="4" t="s">
        <v>838</v>
      </c>
      <c r="I377" s="1">
        <v>2</v>
      </c>
      <c r="J377" s="1">
        <v>1</v>
      </c>
      <c r="K377" s="1">
        <f>Tableau1434567[[#This Row],[Fréquence]]*Tableau1434567[[#This Row],[Gravité]]</f>
        <v>2</v>
      </c>
      <c r="L377" s="4" t="s">
        <v>887</v>
      </c>
      <c r="M377" s="1">
        <v>0.5</v>
      </c>
      <c r="N377" s="5">
        <f>Tableau1434567[[#This Row],[Priorité initiale]]*Tableau1434567[[#This Row],[Moyen de Maitrise]]</f>
        <v>1</v>
      </c>
      <c r="O377" s="17" t="str">
        <f>IF(AND(N377&gt;=0,N377&lt;4),"P3",IF(AND(N377&gt;=4,N377&lt;=8),"P2",IF(N377&gt;8,"P1","")))</f>
        <v>P3</v>
      </c>
      <c r="P377" s="4"/>
    </row>
    <row r="378" spans="1:20" ht="45" x14ac:dyDescent="0.25">
      <c r="A378" s="4" t="s">
        <v>829</v>
      </c>
      <c r="B378" s="4" t="s">
        <v>830</v>
      </c>
      <c r="C378" s="4" t="s">
        <v>831</v>
      </c>
      <c r="D378" s="7">
        <v>5</v>
      </c>
      <c r="E378" s="4" t="s">
        <v>209</v>
      </c>
      <c r="F378" s="4" t="s">
        <v>211</v>
      </c>
      <c r="G378" s="4" t="s">
        <v>561</v>
      </c>
      <c r="H378" s="4" t="s">
        <v>10</v>
      </c>
      <c r="I378" s="1">
        <v>2</v>
      </c>
      <c r="J378" s="1">
        <v>3</v>
      </c>
      <c r="K378" s="1">
        <f>Tableau1434567[[#This Row],[Fréquence]]*Tableau1434567[[#This Row],[Gravité]]</f>
        <v>6</v>
      </c>
      <c r="L378" s="8" t="s">
        <v>210</v>
      </c>
      <c r="M378" s="1">
        <v>0.5</v>
      </c>
      <c r="N378" s="5">
        <f>Tableau1434567[[#This Row],[Priorité initiale]]*Tableau1434567[[#This Row],[Moyen de Maitrise]]</f>
        <v>3</v>
      </c>
      <c r="O378" s="17" t="str">
        <f>IF(AND(N378&gt;=0,N378&lt;4),"P3",IF(AND(N378&gt;=4,N378&lt;=8),"P2",IF(N378&gt;8,"P1","")))</f>
        <v>P3</v>
      </c>
      <c r="P378" s="4" t="s">
        <v>888</v>
      </c>
    </row>
    <row r="379" spans="1:20" ht="120" x14ac:dyDescent="0.25">
      <c r="A379" s="4" t="s">
        <v>829</v>
      </c>
      <c r="B379" s="4" t="s">
        <v>830</v>
      </c>
      <c r="C379" s="4" t="s">
        <v>831</v>
      </c>
      <c r="D379" s="7">
        <v>6</v>
      </c>
      <c r="E379" s="4" t="s">
        <v>205</v>
      </c>
      <c r="F379" s="4" t="s">
        <v>206</v>
      </c>
      <c r="G379" s="4" t="s">
        <v>203</v>
      </c>
      <c r="H379" s="4" t="s">
        <v>10</v>
      </c>
      <c r="I379" s="1">
        <v>1</v>
      </c>
      <c r="J379" s="1">
        <v>4</v>
      </c>
      <c r="K379" s="1">
        <f>Tableau1434567[[#This Row],[Fréquence]]*Tableau1434567[[#This Row],[Gravité]]</f>
        <v>4</v>
      </c>
      <c r="L379" s="4" t="s">
        <v>901</v>
      </c>
      <c r="M379" s="1">
        <v>0.75</v>
      </c>
      <c r="N379" s="5">
        <f>Tableau1434567[[#This Row],[Priorité initiale]]*Tableau1434567[[#This Row],[Moyen de Maitrise]]</f>
        <v>3</v>
      </c>
      <c r="O379" s="17" t="str">
        <f>IF(AND(N379&gt;=0,N379&lt;4),"P3",IF(AND(N379&gt;=4,N379&lt;=8),"P2",IF(N379&gt;8,"P1","")))</f>
        <v>P3</v>
      </c>
      <c r="P379" s="4" t="s">
        <v>902</v>
      </c>
    </row>
    <row r="380" spans="1:20" ht="90" x14ac:dyDescent="0.25">
      <c r="A380" s="4" t="s">
        <v>829</v>
      </c>
      <c r="B380" s="4" t="s">
        <v>830</v>
      </c>
      <c r="C380" s="4" t="s">
        <v>831</v>
      </c>
      <c r="D380" s="7">
        <v>7</v>
      </c>
      <c r="E380" s="4" t="s">
        <v>193</v>
      </c>
      <c r="F380" s="4" t="s">
        <v>197</v>
      </c>
      <c r="G380" s="4" t="s">
        <v>195</v>
      </c>
      <c r="H380" s="4" t="s">
        <v>10</v>
      </c>
      <c r="I380" s="1">
        <v>2</v>
      </c>
      <c r="J380" s="1">
        <v>3</v>
      </c>
      <c r="K380" s="1">
        <f>Tableau1434567[[#This Row],[Fréquence]]*Tableau1434567[[#This Row],[Gravité]]</f>
        <v>6</v>
      </c>
      <c r="L380" s="4" t="s">
        <v>907</v>
      </c>
      <c r="M380" s="1">
        <v>0.5</v>
      </c>
      <c r="N380" s="5">
        <f>Tableau1434567[[#This Row],[Priorité initiale]]*Tableau1434567[[#This Row],[Moyen de Maitrise]]</f>
        <v>3</v>
      </c>
      <c r="O380" s="17" t="str">
        <f>IF(AND(N380&gt;=0,N380&lt;4),"P3",IF(AND(N380&gt;=4,N380&lt;=8),"P2",IF(N380&gt;8,"P1","")))</f>
        <v>P3</v>
      </c>
      <c r="P380" s="4" t="s">
        <v>908</v>
      </c>
    </row>
    <row r="381" spans="1:20" ht="105" x14ac:dyDescent="0.25">
      <c r="A381" s="4" t="s">
        <v>829</v>
      </c>
      <c r="B381" s="4" t="s">
        <v>830</v>
      </c>
      <c r="C381" s="4" t="s">
        <v>831</v>
      </c>
      <c r="D381" s="7">
        <v>7</v>
      </c>
      <c r="E381" s="4" t="s">
        <v>193</v>
      </c>
      <c r="F381" s="4" t="s">
        <v>194</v>
      </c>
      <c r="G381" s="4" t="s">
        <v>195</v>
      </c>
      <c r="H381" s="4" t="s">
        <v>10</v>
      </c>
      <c r="I381" s="1">
        <v>1</v>
      </c>
      <c r="J381" s="1">
        <v>3</v>
      </c>
      <c r="K381" s="1">
        <f>Tableau1434567[[#This Row],[Fréquence]]*Tableau1434567[[#This Row],[Gravité]]</f>
        <v>3</v>
      </c>
      <c r="L381" s="4" t="s">
        <v>909</v>
      </c>
      <c r="M381" s="1">
        <v>0.75</v>
      </c>
      <c r="N381" s="5">
        <f>Tableau1434567[[#This Row],[Priorité initiale]]*Tableau1434567[[#This Row],[Moyen de Maitrise]]</f>
        <v>2.25</v>
      </c>
      <c r="O381" s="17" t="str">
        <f>IF(AND(N381&gt;=0,N381&lt;4),"P3",IF(AND(N381&gt;=4,N381&lt;=8),"P2",IF(N381&gt;8,"P1","")))</f>
        <v>P3</v>
      </c>
      <c r="P381" s="4" t="s">
        <v>551</v>
      </c>
    </row>
    <row r="382" spans="1:20" ht="150" x14ac:dyDescent="0.25">
      <c r="A382" s="4" t="s">
        <v>829</v>
      </c>
      <c r="B382" s="4" t="s">
        <v>830</v>
      </c>
      <c r="C382" s="4" t="s">
        <v>831</v>
      </c>
      <c r="D382" s="7">
        <v>8</v>
      </c>
      <c r="E382" s="4" t="s">
        <v>184</v>
      </c>
      <c r="F382" s="4" t="s">
        <v>183</v>
      </c>
      <c r="G382" s="4" t="s">
        <v>182</v>
      </c>
      <c r="H382" s="4" t="s">
        <v>10</v>
      </c>
      <c r="I382" s="1">
        <v>1</v>
      </c>
      <c r="J382" s="1">
        <v>4</v>
      </c>
      <c r="K382" s="1">
        <f>Tableau1434567[[#This Row],[Fréquence]]*Tableau1434567[[#This Row],[Gravité]]</f>
        <v>4</v>
      </c>
      <c r="L382" s="4" t="s">
        <v>914</v>
      </c>
      <c r="M382" s="1">
        <v>0.75</v>
      </c>
      <c r="N382" s="5">
        <f>Tableau1434567[[#This Row],[Priorité initiale]]*Tableau1434567[[#This Row],[Moyen de Maitrise]]</f>
        <v>3</v>
      </c>
      <c r="O382" s="17" t="str">
        <f>IF(AND(N382&gt;=0,N382&lt;4),"P3",IF(AND(N382&gt;=4,N382&lt;=8),"P2",IF(N382&gt;8,"P1","")))</f>
        <v>P3</v>
      </c>
      <c r="P382" s="4" t="s">
        <v>915</v>
      </c>
    </row>
    <row r="383" spans="1:20" ht="45" x14ac:dyDescent="0.25">
      <c r="A383" s="4" t="s">
        <v>829</v>
      </c>
      <c r="B383" s="4" t="s">
        <v>830</v>
      </c>
      <c r="C383" s="4" t="s">
        <v>831</v>
      </c>
      <c r="D383" s="7">
        <v>8</v>
      </c>
      <c r="E383" s="4" t="s">
        <v>184</v>
      </c>
      <c r="F383" s="4" t="s">
        <v>185</v>
      </c>
      <c r="G383" s="4" t="s">
        <v>508</v>
      </c>
      <c r="H383" s="4" t="s">
        <v>10</v>
      </c>
      <c r="I383" s="1">
        <v>1</v>
      </c>
      <c r="J383" s="1">
        <v>4</v>
      </c>
      <c r="K383" s="1">
        <f>Tableau1434567[[#This Row],[Fréquence]]*Tableau1434567[[#This Row],[Gravité]]</f>
        <v>4</v>
      </c>
      <c r="L383" s="4" t="s">
        <v>188</v>
      </c>
      <c r="M383" s="1">
        <v>0.75</v>
      </c>
      <c r="N383" s="5">
        <f>Tableau1434567[[#This Row],[Priorité initiale]]*Tableau1434567[[#This Row],[Moyen de Maitrise]]</f>
        <v>3</v>
      </c>
      <c r="O383" s="17" t="str">
        <f>IF(AND(N383&gt;=0,N383&lt;4),"P3",IF(AND(N383&gt;=4,N383&lt;=8),"P2",IF(N383&gt;8,"P1","")))</f>
        <v>P3</v>
      </c>
      <c r="P383" s="4" t="s">
        <v>916</v>
      </c>
    </row>
    <row r="384" spans="1:20" ht="60" x14ac:dyDescent="0.25">
      <c r="A384" s="4" t="s">
        <v>829</v>
      </c>
      <c r="B384" s="4" t="s">
        <v>830</v>
      </c>
      <c r="C384" s="4" t="s">
        <v>831</v>
      </c>
      <c r="D384" s="7">
        <v>9</v>
      </c>
      <c r="E384" s="4" t="s">
        <v>177</v>
      </c>
      <c r="F384" s="4" t="s">
        <v>917</v>
      </c>
      <c r="G384" s="4" t="s">
        <v>918</v>
      </c>
      <c r="H384" s="4"/>
      <c r="I384" s="1">
        <v>2</v>
      </c>
      <c r="J384" s="1">
        <v>3</v>
      </c>
      <c r="K384" s="1">
        <f>Tableau1434567[[#This Row],[Fréquence]]*Tableau1434567[[#This Row],[Gravité]]</f>
        <v>6</v>
      </c>
      <c r="L384" s="4" t="s">
        <v>919</v>
      </c>
      <c r="M384" s="1">
        <v>0.5</v>
      </c>
      <c r="N384" s="5">
        <f>Tableau1434567[[#This Row],[Priorité initiale]]*Tableau1434567[[#This Row],[Moyen de Maitrise]]</f>
        <v>3</v>
      </c>
      <c r="O384" s="17" t="str">
        <f>IF(AND(N384&gt;=0,N384&lt;4),"P3",IF(AND(N384&gt;=4,N384&lt;=8),"P2",IF(N384&gt;8,"P1","")))</f>
        <v>P3</v>
      </c>
      <c r="P384" s="4" t="s">
        <v>557</v>
      </c>
    </row>
    <row r="385" spans="1:16" ht="30" x14ac:dyDescent="0.25">
      <c r="A385" s="4" t="s">
        <v>829</v>
      </c>
      <c r="B385" s="4" t="s">
        <v>830</v>
      </c>
      <c r="C385" s="4" t="s">
        <v>831</v>
      </c>
      <c r="D385" s="7">
        <v>10</v>
      </c>
      <c r="E385" s="4" t="s">
        <v>172</v>
      </c>
      <c r="F385" s="4" t="s">
        <v>173</v>
      </c>
      <c r="G385" s="4" t="s">
        <v>175</v>
      </c>
      <c r="H385" s="4" t="s">
        <v>10</v>
      </c>
      <c r="I385" s="1">
        <v>1</v>
      </c>
      <c r="J385" s="1">
        <v>3</v>
      </c>
      <c r="K385" s="1">
        <f>Tableau1434567[[#This Row],[Fréquence]]*Tableau1434567[[#This Row],[Gravité]]</f>
        <v>3</v>
      </c>
      <c r="L385" s="4" t="s">
        <v>174</v>
      </c>
      <c r="M385" s="1">
        <v>0.5</v>
      </c>
      <c r="N385" s="5">
        <f>Tableau1434567[[#This Row],[Priorité initiale]]*Tableau1434567[[#This Row],[Moyen de Maitrise]]</f>
        <v>1.5</v>
      </c>
      <c r="O385" s="17" t="str">
        <f>IF(AND(N385&gt;=0,N385&lt;4),"P3",IF(AND(N385&gt;=4,N385&lt;=8),"P2",IF(N385&gt;8,"P1","")))</f>
        <v>P3</v>
      </c>
      <c r="P385" s="4" t="s">
        <v>920</v>
      </c>
    </row>
    <row r="386" spans="1:16" ht="60" x14ac:dyDescent="0.25">
      <c r="A386" s="4" t="s">
        <v>829</v>
      </c>
      <c r="B386" s="4" t="s">
        <v>830</v>
      </c>
      <c r="C386" s="4" t="s">
        <v>831</v>
      </c>
      <c r="D386" s="7">
        <v>12</v>
      </c>
      <c r="E386" s="4" t="s">
        <v>165</v>
      </c>
      <c r="F386" s="4" t="s">
        <v>164</v>
      </c>
      <c r="G386" s="4" t="s">
        <v>166</v>
      </c>
      <c r="H386" s="4" t="s">
        <v>10</v>
      </c>
      <c r="I386" s="1">
        <v>1</v>
      </c>
      <c r="J386" s="1">
        <v>3</v>
      </c>
      <c r="K386" s="1">
        <f>Tableau1434567[[#This Row],[Fréquence]]*Tableau1434567[[#This Row],[Gravité]]</f>
        <v>3</v>
      </c>
      <c r="L386" s="4" t="s">
        <v>924</v>
      </c>
      <c r="M386" s="1">
        <v>1</v>
      </c>
      <c r="N386" s="5">
        <f>Tableau1434567[[#This Row],[Priorité initiale]]*Tableau1434567[[#This Row],[Moyen de Maitrise]]</f>
        <v>3</v>
      </c>
      <c r="O386" s="17" t="str">
        <f>IF(AND(N386&gt;=0,N386&lt;4),"P3",IF(AND(N386&gt;=4,N386&lt;=8),"P2",IF(N386&gt;8,"P1","")))</f>
        <v>P3</v>
      </c>
      <c r="P386" s="4" t="s">
        <v>925</v>
      </c>
    </row>
    <row r="387" spans="1:16" ht="30" x14ac:dyDescent="0.25">
      <c r="A387" s="4" t="s">
        <v>829</v>
      </c>
      <c r="B387" s="4" t="s">
        <v>830</v>
      </c>
      <c r="C387" s="4" t="s">
        <v>831</v>
      </c>
      <c r="D387" s="7">
        <v>13</v>
      </c>
      <c r="E387" s="4" t="s">
        <v>160</v>
      </c>
      <c r="F387" s="4" t="s">
        <v>161</v>
      </c>
      <c r="G387" s="4" t="s">
        <v>58</v>
      </c>
      <c r="H387" s="4" t="s">
        <v>10</v>
      </c>
      <c r="I387" s="1">
        <v>1</v>
      </c>
      <c r="J387" s="1">
        <v>3</v>
      </c>
      <c r="K387" s="1">
        <f>Tableau1434567[[#This Row],[Fréquence]]*Tableau1434567[[#This Row],[Gravité]]</f>
        <v>3</v>
      </c>
      <c r="L387" s="4" t="s">
        <v>926</v>
      </c>
      <c r="M387" s="1">
        <v>0.5</v>
      </c>
      <c r="N387" s="5">
        <f>Tableau1434567[[#This Row],[Priorité initiale]]*Tableau1434567[[#This Row],[Moyen de Maitrise]]</f>
        <v>1.5</v>
      </c>
      <c r="O387" s="17" t="str">
        <f>IF(AND(N387&gt;=0,N387&lt;4),"P3",IF(AND(N387&gt;=4,N387&lt;=8),"P2",IF(N387&gt;8,"P1","")))</f>
        <v>P3</v>
      </c>
      <c r="P387" s="4" t="s">
        <v>927</v>
      </c>
    </row>
    <row r="388" spans="1:16" ht="30" x14ac:dyDescent="0.25">
      <c r="A388" s="4" t="s">
        <v>832</v>
      </c>
      <c r="B388" s="4" t="s">
        <v>833</v>
      </c>
      <c r="C388" s="4" t="s">
        <v>834</v>
      </c>
      <c r="D388" s="7">
        <v>19</v>
      </c>
      <c r="E388" s="4" t="s">
        <v>127</v>
      </c>
      <c r="F388" s="4" t="s">
        <v>941</v>
      </c>
      <c r="G388" s="4" t="s">
        <v>942</v>
      </c>
      <c r="H388" s="8" t="s">
        <v>838</v>
      </c>
      <c r="I388" s="1">
        <v>2</v>
      </c>
      <c r="J388" s="1">
        <v>2</v>
      </c>
      <c r="K388" s="1">
        <f>Tableau1434567[[#This Row],[Fréquence]]*Tableau1434567[[#This Row],[Gravité]]</f>
        <v>4</v>
      </c>
      <c r="L388" s="4" t="s">
        <v>943</v>
      </c>
      <c r="M388" s="1">
        <v>0.5</v>
      </c>
      <c r="N388" s="5">
        <f>Tableau1434567[[#This Row],[Priorité initiale]]*Tableau1434567[[#This Row],[Moyen de Maitrise]]</f>
        <v>2</v>
      </c>
      <c r="O388" s="17" t="str">
        <f>IF(AND(N388&gt;=0,N388&lt;4),"P3",IF(AND(N388&gt;=4,N388&lt;=8),"P2",IF(N388&gt;8,"P1","")))</f>
        <v>P3</v>
      </c>
      <c r="P388" s="4" t="s">
        <v>944</v>
      </c>
    </row>
    <row r="389" spans="1:16" ht="30" x14ac:dyDescent="0.25">
      <c r="A389" s="4" t="s">
        <v>829</v>
      </c>
      <c r="B389" s="4" t="s">
        <v>830</v>
      </c>
      <c r="C389" s="4" t="s">
        <v>873</v>
      </c>
      <c r="D389" s="7">
        <v>20</v>
      </c>
      <c r="E389" s="4" t="s">
        <v>122</v>
      </c>
      <c r="F389" s="4" t="s">
        <v>390</v>
      </c>
      <c r="G389" s="4" t="s">
        <v>948</v>
      </c>
      <c r="H389" s="4" t="s">
        <v>874</v>
      </c>
      <c r="I389" s="1">
        <v>1</v>
      </c>
      <c r="J389" s="1">
        <v>4</v>
      </c>
      <c r="K389" s="1">
        <f>Tableau1434567[[#This Row],[Fréquence]]*Tableau1434567[[#This Row],[Gravité]]</f>
        <v>4</v>
      </c>
      <c r="L389" s="4" t="s">
        <v>949</v>
      </c>
      <c r="M389" s="1">
        <v>0.75</v>
      </c>
      <c r="N389" s="5">
        <f>Tableau1434567[[#This Row],[Priorité initiale]]*Tableau1434567[[#This Row],[Moyen de Maitrise]]</f>
        <v>3</v>
      </c>
      <c r="O389" s="17" t="str">
        <f>IF(AND(N389&gt;=0,N389&lt;4),"P3",IF(AND(N389&gt;=4,N389&lt;=8),"P2",IF(N389&gt;8,"P1","")))</f>
        <v>P3</v>
      </c>
      <c r="P389" s="4" t="s">
        <v>950</v>
      </c>
    </row>
    <row r="390" spans="1:16" ht="45" x14ac:dyDescent="0.25">
      <c r="A390" s="4" t="s">
        <v>832</v>
      </c>
      <c r="B390" s="4" t="s">
        <v>833</v>
      </c>
      <c r="C390" s="4" t="s">
        <v>834</v>
      </c>
      <c r="D390" s="7">
        <v>22</v>
      </c>
      <c r="E390" s="4" t="s">
        <v>470</v>
      </c>
      <c r="F390" s="4" t="s">
        <v>951</v>
      </c>
      <c r="G390" s="4" t="s">
        <v>952</v>
      </c>
      <c r="H390" s="6" t="s">
        <v>838</v>
      </c>
      <c r="I390" s="1">
        <v>2</v>
      </c>
      <c r="J390" s="1">
        <v>2</v>
      </c>
      <c r="K390" s="1">
        <f>Tableau1434567[[#This Row],[Fréquence]]*Tableau1434567[[#This Row],[Gravité]]</f>
        <v>4</v>
      </c>
      <c r="L390" s="4" t="s">
        <v>953</v>
      </c>
      <c r="M390" s="1">
        <v>0.5</v>
      </c>
      <c r="N390" s="5">
        <f>Tableau1434567[[#This Row],[Priorité initiale]]*Tableau1434567[[#This Row],[Moyen de Maitrise]]</f>
        <v>2</v>
      </c>
      <c r="O390" s="17" t="str">
        <f>IF(AND(N390&gt;=0,N390&lt;4),"P3",IF(AND(N390&gt;=4,N390&lt;=8),"P2",IF(N390&gt;8,"P1","")))</f>
        <v>P3</v>
      </c>
      <c r="P390" s="4" t="s">
        <v>954</v>
      </c>
    </row>
    <row r="391" spans="1:16" ht="30" x14ac:dyDescent="0.25">
      <c r="A391" s="4" t="s">
        <v>829</v>
      </c>
      <c r="B391" s="4" t="s">
        <v>830</v>
      </c>
      <c r="C391" s="4" t="s">
        <v>831</v>
      </c>
      <c r="D391" s="7">
        <v>22</v>
      </c>
      <c r="E391" s="4" t="s">
        <v>470</v>
      </c>
      <c r="F391" s="4" t="s">
        <v>114</v>
      </c>
      <c r="G391" s="4" t="s">
        <v>115</v>
      </c>
      <c r="H391" s="6" t="s">
        <v>10</v>
      </c>
      <c r="I391" s="1">
        <v>1</v>
      </c>
      <c r="J391" s="1">
        <v>4</v>
      </c>
      <c r="K391" s="1">
        <f>Tableau1434567[[#This Row],[Fréquence]]*Tableau1434567[[#This Row],[Gravité]]</f>
        <v>4</v>
      </c>
      <c r="L391" s="4" t="s">
        <v>955</v>
      </c>
      <c r="M391" s="1">
        <v>0.75</v>
      </c>
      <c r="N391" s="5">
        <f>Tableau1434567[[#This Row],[Priorité initiale]]*Tableau1434567[[#This Row],[Moyen de Maitrise]]</f>
        <v>3</v>
      </c>
      <c r="O391" s="17" t="str">
        <f>IF(AND(N391&gt;=0,N391&lt;4),"P3",IF(AND(N391&gt;=4,N391&lt;=8),"P2",IF(N391&gt;8,"P1","")))</f>
        <v>P3</v>
      </c>
      <c r="P391" s="4" t="s">
        <v>956</v>
      </c>
    </row>
    <row r="392" spans="1:16" ht="45" x14ac:dyDescent="0.25">
      <c r="A392" s="4" t="s">
        <v>829</v>
      </c>
      <c r="B392" s="4" t="s">
        <v>830</v>
      </c>
      <c r="C392" s="4" t="s">
        <v>831</v>
      </c>
      <c r="D392" s="7">
        <v>23</v>
      </c>
      <c r="E392" s="4" t="s">
        <v>821</v>
      </c>
      <c r="F392" s="4" t="s">
        <v>113</v>
      </c>
      <c r="G392" s="4" t="s">
        <v>115</v>
      </c>
      <c r="H392" s="6" t="s">
        <v>10</v>
      </c>
      <c r="I392" s="1">
        <v>2</v>
      </c>
      <c r="J392" s="1">
        <v>3</v>
      </c>
      <c r="K392" s="1">
        <f>Tableau1434567[[#This Row],[Fréquence]]*Tableau1434567[[#This Row],[Gravité]]</f>
        <v>6</v>
      </c>
      <c r="L392" s="4" t="s">
        <v>957</v>
      </c>
      <c r="M392" s="1">
        <v>0.5</v>
      </c>
      <c r="N392" s="5">
        <f>Tableau1434567[[#This Row],[Priorité initiale]]*Tableau1434567[[#This Row],[Moyen de Maitrise]]</f>
        <v>3</v>
      </c>
      <c r="O392" s="17" t="str">
        <f>IF(AND(N392&gt;=0,N392&lt;4),"P3",IF(AND(N392&gt;=4,N392&lt;=8),"P2",IF(N392&gt;8,"P1","")))</f>
        <v>P3</v>
      </c>
      <c r="P392" s="4"/>
    </row>
    <row r="393" spans="1:16" ht="30" x14ac:dyDescent="0.25">
      <c r="A393" s="4" t="s">
        <v>829</v>
      </c>
      <c r="B393" s="4" t="s">
        <v>830</v>
      </c>
      <c r="C393" s="4" t="s">
        <v>831</v>
      </c>
      <c r="D393" s="7">
        <v>22</v>
      </c>
      <c r="E393" s="4" t="s">
        <v>470</v>
      </c>
      <c r="F393" s="4" t="s">
        <v>116</v>
      </c>
      <c r="G393" s="4" t="s">
        <v>58</v>
      </c>
      <c r="H393" s="6" t="s">
        <v>10</v>
      </c>
      <c r="I393" s="1">
        <v>1</v>
      </c>
      <c r="J393" s="1">
        <v>3</v>
      </c>
      <c r="K393" s="1">
        <f>Tableau1434567[[#This Row],[Fréquence]]*Tableau1434567[[#This Row],[Gravité]]</f>
        <v>3</v>
      </c>
      <c r="L393" s="4" t="s">
        <v>958</v>
      </c>
      <c r="M393" s="1">
        <v>0.75</v>
      </c>
      <c r="N393" s="5">
        <f>Tableau1434567[[#This Row],[Priorité initiale]]*Tableau1434567[[#This Row],[Moyen de Maitrise]]</f>
        <v>2.25</v>
      </c>
      <c r="O393" s="17" t="str">
        <f>IF(AND(N393&gt;=0,N393&lt;4),"P3",IF(AND(N393&gt;=4,N393&lt;=8),"P2",IF(N393&gt;8,"P1","")))</f>
        <v>P3</v>
      </c>
      <c r="P393" s="4" t="s">
        <v>959</v>
      </c>
    </row>
    <row r="394" spans="1:16" ht="30" x14ac:dyDescent="0.25">
      <c r="A394" s="4" t="s">
        <v>829</v>
      </c>
      <c r="B394" s="4" t="s">
        <v>830</v>
      </c>
      <c r="C394" s="4" t="s">
        <v>875</v>
      </c>
      <c r="D394" s="7">
        <v>23</v>
      </c>
      <c r="E394" s="4" t="s">
        <v>821</v>
      </c>
      <c r="F394" s="4" t="s">
        <v>113</v>
      </c>
      <c r="G394" s="4" t="s">
        <v>58</v>
      </c>
      <c r="H394" s="6" t="s">
        <v>876</v>
      </c>
      <c r="I394" s="1">
        <v>1</v>
      </c>
      <c r="J394" s="1">
        <v>4</v>
      </c>
      <c r="K394" s="1">
        <f>Tableau1434567[[#This Row],[Fréquence]]*Tableau1434567[[#This Row],[Gravité]]</f>
        <v>4</v>
      </c>
      <c r="L394" s="4" t="s">
        <v>960</v>
      </c>
      <c r="M394" s="1">
        <v>0.5</v>
      </c>
      <c r="N394" s="5">
        <f>Tableau1434567[[#This Row],[Priorité initiale]]*Tableau1434567[[#This Row],[Moyen de Maitrise]]</f>
        <v>2</v>
      </c>
      <c r="O394" s="17" t="str">
        <f>IF(AND(N394&gt;=0,N394&lt;4),"P3",IF(AND(N394&gt;=4,N394&lt;=8),"P2",IF(N394&gt;8,"P1","")))</f>
        <v>P3</v>
      </c>
      <c r="P394" s="4" t="s">
        <v>961</v>
      </c>
    </row>
    <row r="395" spans="1:16" ht="45" x14ac:dyDescent="0.25">
      <c r="A395" s="4" t="s">
        <v>829</v>
      </c>
      <c r="B395" s="4" t="s">
        <v>830</v>
      </c>
      <c r="C395" s="4" t="s">
        <v>831</v>
      </c>
      <c r="D395" s="7">
        <v>24</v>
      </c>
      <c r="E395" s="4" t="s">
        <v>99</v>
      </c>
      <c r="F395" s="4" t="s">
        <v>98</v>
      </c>
      <c r="G395" s="4" t="s">
        <v>97</v>
      </c>
      <c r="H395" s="6" t="s">
        <v>10</v>
      </c>
      <c r="I395" s="1">
        <v>2</v>
      </c>
      <c r="J395" s="1">
        <v>3</v>
      </c>
      <c r="K395" s="1">
        <f>Tableau1434567[[#This Row],[Fréquence]]*Tableau1434567[[#This Row],[Gravité]]</f>
        <v>6</v>
      </c>
      <c r="L395" s="4" t="s">
        <v>106</v>
      </c>
      <c r="M395" s="1">
        <v>0.5</v>
      </c>
      <c r="N395" s="5">
        <f>Tableau1434567[[#This Row],[Priorité initiale]]*Tableau1434567[[#This Row],[Moyen de Maitrise]]</f>
        <v>3</v>
      </c>
      <c r="O395" s="17" t="str">
        <f>IF(AND(N395&gt;=0,N395&lt;4),"P3",IF(AND(N395&gt;=4,N395&lt;=8),"P2",IF(N395&gt;8,"P1","")))</f>
        <v>P3</v>
      </c>
      <c r="P395" s="4" t="s">
        <v>104</v>
      </c>
    </row>
    <row r="396" spans="1:16" ht="90" x14ac:dyDescent="0.25">
      <c r="A396" s="4" t="s">
        <v>829</v>
      </c>
      <c r="B396" s="4" t="s">
        <v>830</v>
      </c>
      <c r="C396" s="4" t="s">
        <v>831</v>
      </c>
      <c r="D396" s="7">
        <v>24</v>
      </c>
      <c r="E396" s="4" t="s">
        <v>99</v>
      </c>
      <c r="F396" s="4" t="s">
        <v>102</v>
      </c>
      <c r="G396" s="4" t="s">
        <v>101</v>
      </c>
      <c r="H396" s="6" t="s">
        <v>10</v>
      </c>
      <c r="I396" s="1">
        <v>2</v>
      </c>
      <c r="J396" s="1">
        <v>3</v>
      </c>
      <c r="K396" s="1">
        <f>Tableau1434567[[#This Row],[Fréquence]]*Tableau1434567[[#This Row],[Gravité]]</f>
        <v>6</v>
      </c>
      <c r="L396" s="4" t="s">
        <v>105</v>
      </c>
      <c r="M396" s="1">
        <v>0.5</v>
      </c>
      <c r="N396" s="5">
        <f>Tableau1434567[[#This Row],[Priorité initiale]]*Tableau1434567[[#This Row],[Moyen de Maitrise]]</f>
        <v>3</v>
      </c>
      <c r="O396" s="17" t="str">
        <f>IF(AND(N396&gt;=0,N396&lt;4),"P3",IF(AND(N396&gt;=4,N396&lt;=8),"P2",IF(N396&gt;8,"P1","")))</f>
        <v>P3</v>
      </c>
      <c r="P396" s="4" t="s">
        <v>100</v>
      </c>
    </row>
    <row r="397" spans="1:16" ht="60" x14ac:dyDescent="0.25">
      <c r="A397" s="4" t="s">
        <v>832</v>
      </c>
      <c r="B397" s="4" t="s">
        <v>833</v>
      </c>
      <c r="C397" s="4" t="s">
        <v>834</v>
      </c>
      <c r="D397" s="7">
        <v>25</v>
      </c>
      <c r="E397" s="4" t="s">
        <v>90</v>
      </c>
      <c r="F397" s="4" t="s">
        <v>89</v>
      </c>
      <c r="G397" s="4" t="s">
        <v>88</v>
      </c>
      <c r="H397" s="6" t="s">
        <v>838</v>
      </c>
      <c r="I397" s="1">
        <v>1</v>
      </c>
      <c r="J397" s="1">
        <v>4</v>
      </c>
      <c r="K397" s="1">
        <f>Tableau1434567[[#This Row],[Fréquence]]*Tableau1434567[[#This Row],[Gravité]]</f>
        <v>4</v>
      </c>
      <c r="L397" s="4" t="s">
        <v>964</v>
      </c>
      <c r="M397" s="1">
        <v>0.75</v>
      </c>
      <c r="N397" s="5">
        <f>Tableau1434567[[#This Row],[Priorité initiale]]*Tableau1434567[[#This Row],[Moyen de Maitrise]]</f>
        <v>3</v>
      </c>
      <c r="O397" s="17" t="str">
        <f>IF(AND(N397&gt;=0,N397&lt;4),"P3",IF(AND(N397&gt;=4,N397&lt;=8),"P2",IF(N397&gt;8,"P1","")))</f>
        <v>P3</v>
      </c>
      <c r="P397" s="4" t="s">
        <v>92</v>
      </c>
    </row>
    <row r="398" spans="1:16" ht="45" x14ac:dyDescent="0.25">
      <c r="A398" s="4" t="s">
        <v>832</v>
      </c>
      <c r="B398" s="4" t="s">
        <v>833</v>
      </c>
      <c r="C398" s="4" t="s">
        <v>834</v>
      </c>
      <c r="D398" s="7">
        <v>25</v>
      </c>
      <c r="E398" s="4" t="s">
        <v>90</v>
      </c>
      <c r="F398" s="4" t="s">
        <v>91</v>
      </c>
      <c r="G398" s="4" t="s">
        <v>58</v>
      </c>
      <c r="H398" s="6" t="s">
        <v>838</v>
      </c>
      <c r="I398" s="1">
        <v>2</v>
      </c>
      <c r="J398" s="1">
        <v>1</v>
      </c>
      <c r="K398" s="1">
        <f>Tableau1434567[[#This Row],[Fréquence]]*Tableau1434567[[#This Row],[Gravité]]</f>
        <v>2</v>
      </c>
      <c r="L398" s="4" t="s">
        <v>965</v>
      </c>
      <c r="M398" s="1">
        <v>0.75</v>
      </c>
      <c r="N398" s="5">
        <f>Tableau1434567[[#This Row],[Priorité initiale]]*Tableau1434567[[#This Row],[Moyen de Maitrise]]</f>
        <v>1.5</v>
      </c>
      <c r="O398" s="17" t="str">
        <f>IF(AND(N398&gt;=0,N398&lt;4),"P3",IF(AND(N398&gt;=4,N398&lt;=8),"P2",IF(N398&gt;8,"P1","")))</f>
        <v>P3</v>
      </c>
      <c r="P398" s="4" t="s">
        <v>966</v>
      </c>
    </row>
    <row r="399" spans="1:16" ht="45" x14ac:dyDescent="0.25">
      <c r="A399" s="4" t="s">
        <v>829</v>
      </c>
      <c r="B399" s="4" t="s">
        <v>830</v>
      </c>
      <c r="C399" s="4" t="s">
        <v>831</v>
      </c>
      <c r="D399" s="7">
        <v>25</v>
      </c>
      <c r="E399" s="4" t="s">
        <v>90</v>
      </c>
      <c r="F399" s="4" t="s">
        <v>91</v>
      </c>
      <c r="G399" s="4" t="s">
        <v>967</v>
      </c>
      <c r="H399" s="6" t="s">
        <v>10</v>
      </c>
      <c r="I399" s="1">
        <v>2</v>
      </c>
      <c r="J399" s="1">
        <v>3</v>
      </c>
      <c r="K399" s="1">
        <f>Tableau1434567[[#This Row],[Fréquence]]*Tableau1434567[[#This Row],[Gravité]]</f>
        <v>6</v>
      </c>
      <c r="L399" s="4" t="s">
        <v>968</v>
      </c>
      <c r="M399" s="1">
        <v>0.5</v>
      </c>
      <c r="N399" s="5">
        <f>Tableau1434567[[#This Row],[Priorité initiale]]*Tableau1434567[[#This Row],[Moyen de Maitrise]]</f>
        <v>3</v>
      </c>
      <c r="O399" s="17" t="str">
        <f>IF(AND(N399&gt;=0,N399&lt;4),"P3",IF(AND(N399&gt;=4,N399&lt;=8),"P2",IF(N399&gt;8,"P1","")))</f>
        <v>P3</v>
      </c>
      <c r="P399" s="4" t="s">
        <v>969</v>
      </c>
    </row>
    <row r="400" spans="1:16" ht="60" x14ac:dyDescent="0.25">
      <c r="A400" s="4" t="s">
        <v>829</v>
      </c>
      <c r="B400" s="4" t="s">
        <v>830</v>
      </c>
      <c r="C400" s="4" t="s">
        <v>831</v>
      </c>
      <c r="D400" s="7">
        <v>25</v>
      </c>
      <c r="E400" s="4" t="s">
        <v>90</v>
      </c>
      <c r="F400" s="4" t="s">
        <v>89</v>
      </c>
      <c r="G400" s="4" t="s">
        <v>88</v>
      </c>
      <c r="H400" s="6" t="s">
        <v>10</v>
      </c>
      <c r="I400" s="1">
        <v>1</v>
      </c>
      <c r="J400" s="1">
        <v>4</v>
      </c>
      <c r="K400" s="1">
        <f>Tableau1434567[[#This Row],[Fréquence]]*Tableau1434567[[#This Row],[Gravité]]</f>
        <v>4</v>
      </c>
      <c r="L400" s="4" t="s">
        <v>93</v>
      </c>
      <c r="M400" s="1">
        <v>0.5</v>
      </c>
      <c r="N400" s="5">
        <f>Tableau1434567[[#This Row],[Priorité initiale]]*Tableau1434567[[#This Row],[Moyen de Maitrise]]</f>
        <v>2</v>
      </c>
      <c r="O400" s="17" t="str">
        <f>IF(AND(N400&gt;=0,N400&lt;4),"P3",IF(AND(N400&gt;=4,N400&lt;=8),"P2",IF(N400&gt;8,"P1","")))</f>
        <v>P3</v>
      </c>
      <c r="P400" s="4" t="s">
        <v>606</v>
      </c>
    </row>
    <row r="401" spans="1:16" ht="75" x14ac:dyDescent="0.25">
      <c r="A401" s="4" t="s">
        <v>829</v>
      </c>
      <c r="B401" s="4" t="s">
        <v>830</v>
      </c>
      <c r="C401" s="4" t="s">
        <v>831</v>
      </c>
      <c r="D401" s="7">
        <v>26</v>
      </c>
      <c r="E401" s="4" t="s">
        <v>81</v>
      </c>
      <c r="F401" s="4" t="s">
        <v>80</v>
      </c>
      <c r="G401" s="4" t="s">
        <v>79</v>
      </c>
      <c r="H401" s="6" t="s">
        <v>10</v>
      </c>
      <c r="I401" s="1">
        <v>2</v>
      </c>
      <c r="J401" s="1">
        <v>2</v>
      </c>
      <c r="K401" s="1">
        <f>Tableau1434567[[#This Row],[Fréquence]]*Tableau1434567[[#This Row],[Gravité]]</f>
        <v>4</v>
      </c>
      <c r="L401" s="4" t="s">
        <v>86</v>
      </c>
      <c r="M401" s="1">
        <v>0.5</v>
      </c>
      <c r="N401" s="5">
        <f>Tableau1434567[[#This Row],[Priorité initiale]]*Tableau1434567[[#This Row],[Moyen de Maitrise]]</f>
        <v>2</v>
      </c>
      <c r="O401" s="17" t="str">
        <f>IF(AND(N401&gt;=0,N401&lt;4),"P3",IF(AND(N401&gt;=4,N401&lt;=8),"P2",IF(N401&gt;8,"P1","")))</f>
        <v>P3</v>
      </c>
      <c r="P401" s="4" t="s">
        <v>87</v>
      </c>
    </row>
    <row r="402" spans="1:16" ht="75" x14ac:dyDescent="0.25">
      <c r="A402" s="4" t="s">
        <v>829</v>
      </c>
      <c r="B402" s="4" t="s">
        <v>830</v>
      </c>
      <c r="C402" s="4" t="s">
        <v>831</v>
      </c>
      <c r="D402" s="7">
        <v>27</v>
      </c>
      <c r="E402" s="4" t="s">
        <v>76</v>
      </c>
      <c r="F402" s="4" t="s">
        <v>75</v>
      </c>
      <c r="G402" s="4" t="s">
        <v>74</v>
      </c>
      <c r="H402" s="6" t="s">
        <v>10</v>
      </c>
      <c r="I402" s="1">
        <v>2</v>
      </c>
      <c r="J402" s="1">
        <v>3</v>
      </c>
      <c r="K402" s="1">
        <f>Tableau1434567[[#This Row],[Fréquence]]*Tableau1434567[[#This Row],[Gravité]]</f>
        <v>6</v>
      </c>
      <c r="L402" s="4" t="s">
        <v>77</v>
      </c>
      <c r="M402" s="1">
        <v>0.5</v>
      </c>
      <c r="N402" s="5">
        <f>Tableau1434567[[#This Row],[Priorité initiale]]*Tableau1434567[[#This Row],[Moyen de Maitrise]]</f>
        <v>3</v>
      </c>
      <c r="O402" s="17" t="str">
        <f>IF(AND(N402&gt;=0,N402&lt;4),"P3",IF(AND(N402&gt;=4,N402&lt;=8),"P2",IF(N402&gt;8,"P1","")))</f>
        <v>P3</v>
      </c>
      <c r="P402" s="4" t="s">
        <v>970</v>
      </c>
    </row>
    <row r="403" spans="1:16" ht="165" x14ac:dyDescent="0.25">
      <c r="A403" s="4" t="s">
        <v>829</v>
      </c>
      <c r="B403" s="4" t="s">
        <v>830</v>
      </c>
      <c r="C403" s="4" t="s">
        <v>831</v>
      </c>
      <c r="D403" s="7">
        <v>28</v>
      </c>
      <c r="E403" s="4" t="s">
        <v>826</v>
      </c>
      <c r="F403" s="4" t="s">
        <v>827</v>
      </c>
      <c r="G403" s="4" t="s">
        <v>13</v>
      </c>
      <c r="H403" s="6" t="s">
        <v>10</v>
      </c>
      <c r="I403" s="1">
        <v>3</v>
      </c>
      <c r="J403" s="1">
        <v>2</v>
      </c>
      <c r="K403" s="1">
        <f>Tableau1434567[[#This Row],[Fréquence]]*Tableau1434567[[#This Row],[Gravité]]</f>
        <v>6</v>
      </c>
      <c r="L403" s="4" t="s">
        <v>62</v>
      </c>
      <c r="M403" s="1">
        <v>0.5</v>
      </c>
      <c r="N403" s="5">
        <f>Tableau1434567[[#This Row],[Priorité initiale]]*Tableau1434567[[#This Row],[Moyen de Maitrise]]</f>
        <v>3</v>
      </c>
      <c r="O403" s="17" t="str">
        <f>IF(AND(N403&gt;=0,N403&lt;4),"P3",IF(AND(N403&gt;=4,N403&lt;=8),"P2",IF(N403&gt;8,"P1","")))</f>
        <v>P3</v>
      </c>
      <c r="P403" s="4" t="s">
        <v>560</v>
      </c>
    </row>
    <row r="404" spans="1:16" ht="45" x14ac:dyDescent="0.25">
      <c r="A404" s="4" t="s">
        <v>829</v>
      </c>
      <c r="B404" s="4" t="s">
        <v>830</v>
      </c>
      <c r="C404" s="4" t="s">
        <v>831</v>
      </c>
      <c r="D404" s="7">
        <v>29</v>
      </c>
      <c r="E404" s="4" t="s">
        <v>68</v>
      </c>
      <c r="F404" s="4" t="s">
        <v>70</v>
      </c>
      <c r="G404" s="4" t="s">
        <v>69</v>
      </c>
      <c r="H404" s="6" t="s">
        <v>10</v>
      </c>
      <c r="I404" s="1">
        <v>1</v>
      </c>
      <c r="J404" s="1">
        <v>3</v>
      </c>
      <c r="K404" s="1">
        <f>Tableau1434567[[#This Row],[Fréquence]]*Tableau1434567[[#This Row],[Gravité]]</f>
        <v>3</v>
      </c>
      <c r="L404" s="4" t="s">
        <v>973</v>
      </c>
      <c r="M404" s="1">
        <v>0.5</v>
      </c>
      <c r="N404" s="5">
        <f>Tableau1434567[[#This Row],[Priorité initiale]]*Tableau1434567[[#This Row],[Moyen de Maitrise]]</f>
        <v>1.5</v>
      </c>
      <c r="O404" s="17" t="str">
        <f>IF(AND(N404&gt;=0,N404&lt;4),"P3",IF(AND(N404&gt;=4,N404&lt;=8),"P2",IF(N404&gt;8,"P1","")))</f>
        <v>P3</v>
      </c>
      <c r="P404" s="4"/>
    </row>
    <row r="405" spans="1:16" ht="90" x14ac:dyDescent="0.25">
      <c r="A405" s="4" t="s">
        <v>832</v>
      </c>
      <c r="B405" s="4" t="s">
        <v>833</v>
      </c>
      <c r="C405" s="4" t="s">
        <v>834</v>
      </c>
      <c r="D405" s="7">
        <v>34</v>
      </c>
      <c r="E405" s="4" t="s">
        <v>57</v>
      </c>
      <c r="F405" s="4" t="s">
        <v>439</v>
      </c>
      <c r="G405" s="4" t="s">
        <v>55</v>
      </c>
      <c r="H405" s="6" t="s">
        <v>838</v>
      </c>
      <c r="I405" s="1">
        <v>1</v>
      </c>
      <c r="J405" s="1">
        <v>3</v>
      </c>
      <c r="K405" s="1">
        <f>Tableau1434567[[#This Row],[Fréquence]]*Tableau1434567[[#This Row],[Gravité]]</f>
        <v>3</v>
      </c>
      <c r="L405" s="4" t="s">
        <v>988</v>
      </c>
      <c r="M405" s="1">
        <v>0.75</v>
      </c>
      <c r="N405" s="5">
        <f>Tableau1434567[[#This Row],[Priorité initiale]]*Tableau1434567[[#This Row],[Moyen de Maitrise]]</f>
        <v>2.25</v>
      </c>
      <c r="O405" s="17" t="str">
        <f>IF(AND(N405&gt;=0,N405&lt;4),"P3",IF(AND(N405&gt;=4,N405&lt;=8),"P2",IF(N405&gt;8,"P1","")))</f>
        <v>P3</v>
      </c>
      <c r="P405" s="4" t="s">
        <v>989</v>
      </c>
    </row>
    <row r="406" spans="1:16" ht="45" x14ac:dyDescent="0.25">
      <c r="A406" s="4" t="s">
        <v>829</v>
      </c>
      <c r="B406" s="4" t="s">
        <v>830</v>
      </c>
      <c r="C406" s="4" t="s">
        <v>831</v>
      </c>
      <c r="D406" s="7">
        <v>34</v>
      </c>
      <c r="E406" s="4" t="s">
        <v>57</v>
      </c>
      <c r="F406" s="4" t="s">
        <v>56</v>
      </c>
      <c r="G406" s="4" t="s">
        <v>55</v>
      </c>
      <c r="H406" s="6" t="s">
        <v>10</v>
      </c>
      <c r="I406" s="1">
        <v>1</v>
      </c>
      <c r="J406" s="1">
        <v>2</v>
      </c>
      <c r="K406" s="1">
        <f>Tableau1434567[[#This Row],[Fréquence]]*Tableau1434567[[#This Row],[Gravité]]</f>
        <v>2</v>
      </c>
      <c r="L406" s="4" t="s">
        <v>990</v>
      </c>
      <c r="M406" s="1">
        <v>0.75</v>
      </c>
      <c r="N406" s="5">
        <f>Tableau1434567[[#This Row],[Priorité initiale]]*Tableau1434567[[#This Row],[Moyen de Maitrise]]</f>
        <v>1.5</v>
      </c>
      <c r="O406" s="17" t="str">
        <f>IF(AND(N406&gt;=0,N406&lt;4),"P3",IF(AND(N406&gt;=4,N406&lt;=8),"P2",IF(N406&gt;8,"P1","")))</f>
        <v>P3</v>
      </c>
      <c r="P406" s="4" t="s">
        <v>991</v>
      </c>
    </row>
    <row r="407" spans="1:16" ht="90" x14ac:dyDescent="0.25">
      <c r="A407" s="4" t="s">
        <v>832</v>
      </c>
      <c r="B407" s="4" t="s">
        <v>833</v>
      </c>
      <c r="C407" s="4" t="s">
        <v>834</v>
      </c>
      <c r="D407" s="7">
        <v>35</v>
      </c>
      <c r="E407" s="4" t="s">
        <v>49</v>
      </c>
      <c r="F407" s="4" t="s">
        <v>48</v>
      </c>
      <c r="G407" s="4" t="s">
        <v>47</v>
      </c>
      <c r="H407" s="6" t="s">
        <v>838</v>
      </c>
      <c r="I407" s="1">
        <v>1</v>
      </c>
      <c r="J407" s="1">
        <v>3</v>
      </c>
      <c r="K407" s="1">
        <f>Tableau1434567[[#This Row],[Fréquence]]*Tableau1434567[[#This Row],[Gravité]]</f>
        <v>3</v>
      </c>
      <c r="L407" s="4" t="s">
        <v>46</v>
      </c>
      <c r="M407" s="1">
        <v>0.75</v>
      </c>
      <c r="N407" s="5">
        <f>Tableau1434567[[#This Row],[Priorité initiale]]*Tableau1434567[[#This Row],[Moyen de Maitrise]]</f>
        <v>2.25</v>
      </c>
      <c r="O407" s="17" t="str">
        <f>IF(AND(N407&gt;=0,N407&lt;4),"P3",IF(AND(N407&gt;=4,N407&lt;=8),"P2",IF(N407&gt;8,"P1","")))</f>
        <v>P3</v>
      </c>
      <c r="P407" s="4" t="s">
        <v>45</v>
      </c>
    </row>
    <row r="408" spans="1:16" ht="90" x14ac:dyDescent="0.25">
      <c r="A408" s="4" t="s">
        <v>829</v>
      </c>
      <c r="B408" s="4" t="s">
        <v>830</v>
      </c>
      <c r="C408" s="4" t="s">
        <v>831</v>
      </c>
      <c r="D408" s="7">
        <v>35</v>
      </c>
      <c r="E408" s="4" t="s">
        <v>49</v>
      </c>
      <c r="F408" s="4" t="s">
        <v>48</v>
      </c>
      <c r="G408" s="4" t="s">
        <v>47</v>
      </c>
      <c r="H408" s="6" t="s">
        <v>10</v>
      </c>
      <c r="I408" s="1">
        <v>1</v>
      </c>
      <c r="J408" s="1">
        <v>3</v>
      </c>
      <c r="K408" s="1">
        <f>Tableau1434567[[#This Row],[Fréquence]]*Tableau1434567[[#This Row],[Gravité]]</f>
        <v>3</v>
      </c>
      <c r="L408" s="4" t="s">
        <v>46</v>
      </c>
      <c r="M408" s="1">
        <v>0.75</v>
      </c>
      <c r="N408" s="5">
        <f>Tableau1434567[[#This Row],[Priorité initiale]]*Tableau1434567[[#This Row],[Moyen de Maitrise]]</f>
        <v>2.25</v>
      </c>
      <c r="O408" s="17" t="str">
        <f>IF(AND(N408&gt;=0,N408&lt;4),"P3",IF(AND(N408&gt;=4,N408&lt;=8),"P2",IF(N408&gt;8,"P1","")))</f>
        <v>P3</v>
      </c>
      <c r="P408" s="4" t="s">
        <v>45</v>
      </c>
    </row>
    <row r="409" spans="1:16" ht="105" x14ac:dyDescent="0.25">
      <c r="A409" s="4" t="s">
        <v>829</v>
      </c>
      <c r="B409" s="4" t="s">
        <v>830</v>
      </c>
      <c r="C409" s="4" t="s">
        <v>831</v>
      </c>
      <c r="D409" s="7">
        <v>36</v>
      </c>
      <c r="E409" s="4" t="s">
        <v>43</v>
      </c>
      <c r="F409" s="4" t="s">
        <v>42</v>
      </c>
      <c r="G409" s="4" t="s">
        <v>41</v>
      </c>
      <c r="H409" s="6" t="s">
        <v>10</v>
      </c>
      <c r="I409" s="1">
        <v>1</v>
      </c>
      <c r="J409" s="1">
        <v>4</v>
      </c>
      <c r="K409" s="1">
        <f>Tableau1434567[[#This Row],[Fréquence]]*Tableau1434567[[#This Row],[Gravité]]</f>
        <v>4</v>
      </c>
      <c r="L409" s="4" t="s">
        <v>44</v>
      </c>
      <c r="M409" s="1">
        <v>0.75</v>
      </c>
      <c r="N409" s="5">
        <f>Tableau1434567[[#This Row],[Priorité initiale]]*Tableau1434567[[#This Row],[Moyen de Maitrise]]</f>
        <v>3</v>
      </c>
      <c r="O409" s="17" t="str">
        <f>IF(AND(N409&gt;=0,N409&lt;4),"P3",IF(AND(N409&gt;=4,N409&lt;=8),"P2",IF(N409&gt;8,"P1","")))</f>
        <v>P3</v>
      </c>
      <c r="P409" s="4" t="s">
        <v>578</v>
      </c>
    </row>
    <row r="410" spans="1:16" ht="195" x14ac:dyDescent="0.25">
      <c r="A410" s="4" t="s">
        <v>829</v>
      </c>
      <c r="B410" s="4" t="s">
        <v>830</v>
      </c>
      <c r="C410" s="4" t="s">
        <v>831</v>
      </c>
      <c r="D410" s="7">
        <v>2</v>
      </c>
      <c r="E410" s="4" t="s">
        <v>762</v>
      </c>
      <c r="F410" s="4" t="s">
        <v>998</v>
      </c>
      <c r="G410" s="4" t="s">
        <v>23</v>
      </c>
      <c r="H410" s="6" t="s">
        <v>10</v>
      </c>
      <c r="I410" s="1">
        <v>2</v>
      </c>
      <c r="J410" s="1">
        <v>3</v>
      </c>
      <c r="K410" s="1">
        <f>Tableau1434567[[#This Row],[Fréquence]]*Tableau1434567[[#This Row],[Gravité]]</f>
        <v>6</v>
      </c>
      <c r="L410" s="4" t="s">
        <v>27</v>
      </c>
      <c r="M410" s="1">
        <v>0.5</v>
      </c>
      <c r="N410" s="5">
        <f>Tableau1434567[[#This Row],[Priorité initiale]]*Tableau1434567[[#This Row],[Moyen de Maitrise]]</f>
        <v>3</v>
      </c>
      <c r="O410" s="17" t="str">
        <f>IF(AND(N410&gt;=0,N410&lt;4),"P3",IF(AND(N410&gt;=4,N410&lt;=8),"P2",IF(N410&gt;8,"P1","")))</f>
        <v>P3</v>
      </c>
      <c r="P410" s="4" t="s">
        <v>582</v>
      </c>
    </row>
    <row r="411" spans="1:16" ht="60" x14ac:dyDescent="0.25">
      <c r="A411" s="4" t="s">
        <v>829</v>
      </c>
      <c r="B411" s="4" t="s">
        <v>830</v>
      </c>
      <c r="C411" s="4" t="s">
        <v>873</v>
      </c>
      <c r="D411" s="7">
        <v>2</v>
      </c>
      <c r="E411" s="4" t="s">
        <v>762</v>
      </c>
      <c r="F411" s="4" t="s">
        <v>999</v>
      </c>
      <c r="G411" s="4" t="s">
        <v>1000</v>
      </c>
      <c r="H411" s="6" t="s">
        <v>874</v>
      </c>
      <c r="I411" s="1">
        <v>1</v>
      </c>
      <c r="J411" s="1">
        <v>3</v>
      </c>
      <c r="K411" s="1">
        <f>Tableau1434567[[#This Row],[Fréquence]]*Tableau1434567[[#This Row],[Gravité]]</f>
        <v>3</v>
      </c>
      <c r="L411" s="4" t="s">
        <v>1001</v>
      </c>
      <c r="M411" s="1">
        <v>0.75</v>
      </c>
      <c r="N411" s="5">
        <f>Tableau1434567[[#This Row],[Priorité initiale]]*Tableau1434567[[#This Row],[Moyen de Maitrise]]</f>
        <v>2.25</v>
      </c>
      <c r="O411" s="17" t="str">
        <f>IF(AND(N411&gt;=0,N411&lt;4),"P3",IF(AND(N411&gt;=4,N411&lt;=8),"P2",IF(N411&gt;8,"P1","")))</f>
        <v>P3</v>
      </c>
      <c r="P411" s="4" t="s">
        <v>1002</v>
      </c>
    </row>
    <row r="412" spans="1:16" ht="255" x14ac:dyDescent="0.25">
      <c r="A412" s="10" t="s">
        <v>16</v>
      </c>
      <c r="B412" s="10" t="s">
        <v>252</v>
      </c>
      <c r="C412" s="10" t="s">
        <v>254</v>
      </c>
      <c r="D412" s="15">
        <v>1</v>
      </c>
      <c r="E412" s="10" t="s">
        <v>246</v>
      </c>
      <c r="F412" s="10" t="s">
        <v>245</v>
      </c>
      <c r="G412" s="4" t="s">
        <v>244</v>
      </c>
      <c r="H412" s="6" t="s">
        <v>250</v>
      </c>
      <c r="I412" s="1">
        <v>1</v>
      </c>
      <c r="J412" s="1">
        <v>4</v>
      </c>
      <c r="K412" s="16" t="e">
        <f>#REF!*#REF!</f>
        <v>#REF!</v>
      </c>
      <c r="L412" s="6" t="s">
        <v>253</v>
      </c>
      <c r="M412" s="1">
        <v>1</v>
      </c>
      <c r="N412" s="5" t="e">
        <f>#REF!*#REF!</f>
        <v>#REF!</v>
      </c>
      <c r="O412" s="17" t="e">
        <f t="shared" ref="O412:O475" si="0">IF(AND(N412&gt;=0,N412&lt;4),"P3",IF(AND(N412&gt;=4,N412&lt;=8),"P2",IF(N412&gt;8,"P1","")))</f>
        <v>#REF!</v>
      </c>
      <c r="P412" s="10" t="s">
        <v>247</v>
      </c>
    </row>
    <row r="413" spans="1:16" ht="225" x14ac:dyDescent="0.25">
      <c r="A413" s="10" t="s">
        <v>16</v>
      </c>
      <c r="B413" s="10" t="s">
        <v>252</v>
      </c>
      <c r="C413" s="10" t="s">
        <v>251</v>
      </c>
      <c r="D413" s="15">
        <v>1</v>
      </c>
      <c r="E413" s="10" t="s">
        <v>246</v>
      </c>
      <c r="F413" s="10" t="s">
        <v>245</v>
      </c>
      <c r="G413" s="4" t="s">
        <v>244</v>
      </c>
      <c r="H413" s="6" t="s">
        <v>250</v>
      </c>
      <c r="I413" s="1">
        <v>1</v>
      </c>
      <c r="J413" s="1">
        <v>4</v>
      </c>
      <c r="K413" s="16" t="e">
        <f>#REF!*#REF!</f>
        <v>#REF!</v>
      </c>
      <c r="L413" s="6" t="s">
        <v>248</v>
      </c>
      <c r="M413" s="1">
        <v>1</v>
      </c>
      <c r="N413" s="5" t="e">
        <f>#REF!*#REF!</f>
        <v>#REF!</v>
      </c>
      <c r="O413" s="17" t="e">
        <f t="shared" si="0"/>
        <v>#REF!</v>
      </c>
      <c r="P413" s="10" t="s">
        <v>249</v>
      </c>
    </row>
    <row r="414" spans="1:16" ht="90" x14ac:dyDescent="0.25">
      <c r="A414" s="10" t="s">
        <v>16</v>
      </c>
      <c r="B414" s="10" t="s">
        <v>15</v>
      </c>
      <c r="C414" s="10" t="s">
        <v>14</v>
      </c>
      <c r="D414" s="15">
        <v>2</v>
      </c>
      <c r="E414" s="10" t="s">
        <v>762</v>
      </c>
      <c r="F414" s="10" t="s">
        <v>820</v>
      </c>
      <c r="G414" s="4" t="s">
        <v>20</v>
      </c>
      <c r="H414" s="6" t="s">
        <v>12</v>
      </c>
      <c r="I414" s="1">
        <v>2</v>
      </c>
      <c r="J414" s="1">
        <v>4</v>
      </c>
      <c r="K414" s="16" t="e">
        <f>#REF!*#REF!</f>
        <v>#REF!</v>
      </c>
      <c r="L414" s="6" t="s">
        <v>29</v>
      </c>
      <c r="M414" s="1">
        <v>0.75</v>
      </c>
      <c r="N414" s="2" t="e">
        <f>#REF!*#REF!</f>
        <v>#REF!</v>
      </c>
      <c r="O414" s="17" t="e">
        <f t="shared" si="0"/>
        <v>#REF!</v>
      </c>
      <c r="P414" s="10" t="s">
        <v>289</v>
      </c>
    </row>
    <row r="415" spans="1:16" ht="195" x14ac:dyDescent="0.25">
      <c r="A415" s="10" t="s">
        <v>16</v>
      </c>
      <c r="B415" s="10" t="s">
        <v>15</v>
      </c>
      <c r="C415" s="10" t="s">
        <v>14</v>
      </c>
      <c r="D415" s="15">
        <v>2</v>
      </c>
      <c r="E415" s="10" t="s">
        <v>762</v>
      </c>
      <c r="F415" s="10" t="s">
        <v>463</v>
      </c>
      <c r="G415" s="4" t="s">
        <v>18</v>
      </c>
      <c r="H415" s="6" t="s">
        <v>12</v>
      </c>
      <c r="I415" s="1">
        <v>2</v>
      </c>
      <c r="J415" s="1">
        <v>3</v>
      </c>
      <c r="K415" s="16" t="e">
        <f>#REF!*#REF!</f>
        <v>#REF!</v>
      </c>
      <c r="L415" s="6" t="s">
        <v>33</v>
      </c>
      <c r="M415" s="1">
        <v>0.75</v>
      </c>
      <c r="N415" s="2" t="e">
        <f>#REF!*#REF!</f>
        <v>#REF!</v>
      </c>
      <c r="O415" s="17" t="e">
        <f t="shared" si="0"/>
        <v>#REF!</v>
      </c>
      <c r="P415" s="10" t="s">
        <v>28</v>
      </c>
    </row>
    <row r="416" spans="1:16" ht="375" x14ac:dyDescent="0.25">
      <c r="A416" s="10" t="s">
        <v>16</v>
      </c>
      <c r="B416" s="10" t="s">
        <v>15</v>
      </c>
      <c r="C416" s="10" t="s">
        <v>14</v>
      </c>
      <c r="D416" s="15">
        <v>2</v>
      </c>
      <c r="E416" s="10" t="s">
        <v>762</v>
      </c>
      <c r="F416" s="10" t="s">
        <v>818</v>
      </c>
      <c r="G416" s="4" t="s">
        <v>17</v>
      </c>
      <c r="H416" s="6" t="s">
        <v>12</v>
      </c>
      <c r="I416" s="1">
        <v>2</v>
      </c>
      <c r="J416" s="1">
        <v>3</v>
      </c>
      <c r="K416" s="16" t="e">
        <f>#REF!*#REF!</f>
        <v>#REF!</v>
      </c>
      <c r="L416" s="6" t="s">
        <v>30</v>
      </c>
      <c r="M416" s="1">
        <v>0.75</v>
      </c>
      <c r="N416" s="2" t="e">
        <f>#REF!*#REF!</f>
        <v>#REF!</v>
      </c>
      <c r="O416" s="17" t="e">
        <f t="shared" si="0"/>
        <v>#REF!</v>
      </c>
      <c r="P416" s="10" t="s">
        <v>19</v>
      </c>
    </row>
    <row r="417" spans="1:16" ht="75" x14ac:dyDescent="0.25">
      <c r="A417" s="10" t="s">
        <v>16</v>
      </c>
      <c r="B417" s="10" t="s">
        <v>15</v>
      </c>
      <c r="C417" s="10" t="s">
        <v>14</v>
      </c>
      <c r="D417" s="15">
        <v>2</v>
      </c>
      <c r="E417" s="10" t="s">
        <v>762</v>
      </c>
      <c r="F417" s="10" t="s">
        <v>22</v>
      </c>
      <c r="G417" s="33" t="s">
        <v>21</v>
      </c>
      <c r="H417" s="35" t="s">
        <v>12</v>
      </c>
      <c r="I417" s="37">
        <v>2</v>
      </c>
      <c r="J417" s="37">
        <v>4</v>
      </c>
      <c r="K417" s="47" t="e">
        <f>#REF!*#REF!</f>
        <v>#REF!</v>
      </c>
      <c r="L417" s="35" t="s">
        <v>24</v>
      </c>
      <c r="M417" s="37">
        <v>0.5</v>
      </c>
      <c r="N417" s="48" t="e">
        <f>#REF!*#REF!</f>
        <v>#REF!</v>
      </c>
      <c r="O417" s="17" t="e">
        <f t="shared" si="0"/>
        <v>#REF!</v>
      </c>
      <c r="P417" s="10" t="s">
        <v>25</v>
      </c>
    </row>
    <row r="418" spans="1:16" ht="195" x14ac:dyDescent="0.25">
      <c r="A418" s="10" t="s">
        <v>16</v>
      </c>
      <c r="B418" s="10" t="s">
        <v>15</v>
      </c>
      <c r="C418" s="10" t="s">
        <v>14</v>
      </c>
      <c r="D418" s="15">
        <v>2</v>
      </c>
      <c r="E418" s="10" t="s">
        <v>762</v>
      </c>
      <c r="F418" s="10" t="s">
        <v>819</v>
      </c>
      <c r="G418" s="4" t="s">
        <v>23</v>
      </c>
      <c r="H418" s="6" t="s">
        <v>12</v>
      </c>
      <c r="I418" s="1">
        <v>2</v>
      </c>
      <c r="J418" s="1">
        <v>3</v>
      </c>
      <c r="K418" s="16" t="e">
        <f>#REF!*#REF!</f>
        <v>#REF!</v>
      </c>
      <c r="L418" s="6" t="s">
        <v>27</v>
      </c>
      <c r="M418" s="1">
        <v>0.5</v>
      </c>
      <c r="N418" s="2" t="e">
        <f>#REF!*#REF!</f>
        <v>#REF!</v>
      </c>
      <c r="O418" s="17" t="e">
        <f t="shared" si="0"/>
        <v>#REF!</v>
      </c>
      <c r="P418" s="10" t="s">
        <v>304</v>
      </c>
    </row>
    <row r="419" spans="1:16" ht="120" x14ac:dyDescent="0.25">
      <c r="A419" s="10" t="s">
        <v>16</v>
      </c>
      <c r="B419" s="10" t="s">
        <v>15</v>
      </c>
      <c r="C419" s="10" t="s">
        <v>14</v>
      </c>
      <c r="D419" s="15">
        <v>3</v>
      </c>
      <c r="E419" s="10" t="s">
        <v>232</v>
      </c>
      <c r="F419" s="10" t="s">
        <v>238</v>
      </c>
      <c r="G419" s="4" t="s">
        <v>237</v>
      </c>
      <c r="H419" s="6" t="s">
        <v>12</v>
      </c>
      <c r="I419" s="1">
        <v>2</v>
      </c>
      <c r="J419" s="1">
        <v>3</v>
      </c>
      <c r="K419" s="16" t="e">
        <f>#REF!*#REF!</f>
        <v>#REF!</v>
      </c>
      <c r="L419" s="6" t="s">
        <v>242</v>
      </c>
      <c r="M419" s="1">
        <v>1</v>
      </c>
      <c r="N419" s="2" t="e">
        <f>#REF!*#REF!</f>
        <v>#REF!</v>
      </c>
      <c r="O419" s="17" t="e">
        <f t="shared" si="0"/>
        <v>#REF!</v>
      </c>
      <c r="P419" s="10" t="s">
        <v>295</v>
      </c>
    </row>
    <row r="420" spans="1:16" ht="60" x14ac:dyDescent="0.25">
      <c r="A420" s="10" t="s">
        <v>16</v>
      </c>
      <c r="B420" s="10" t="s">
        <v>15</v>
      </c>
      <c r="C420" s="10" t="s">
        <v>14</v>
      </c>
      <c r="D420" s="15">
        <v>3</v>
      </c>
      <c r="E420" s="10" t="s">
        <v>232</v>
      </c>
      <c r="F420" s="10" t="s">
        <v>241</v>
      </c>
      <c r="G420" s="4" t="s">
        <v>237</v>
      </c>
      <c r="H420" s="6" t="s">
        <v>12</v>
      </c>
      <c r="I420" s="1">
        <v>2</v>
      </c>
      <c r="J420" s="1">
        <v>3</v>
      </c>
      <c r="K420" s="16" t="e">
        <f>#REF!*#REF!</f>
        <v>#REF!</v>
      </c>
      <c r="L420" s="6" t="s">
        <v>243</v>
      </c>
      <c r="M420" s="1">
        <v>0.75</v>
      </c>
      <c r="N420" s="2" t="e">
        <f>#REF!*#REF!</f>
        <v>#REF!</v>
      </c>
      <c r="O420" s="17" t="e">
        <f t="shared" si="0"/>
        <v>#REF!</v>
      </c>
      <c r="P420" s="10" t="s">
        <v>301</v>
      </c>
    </row>
    <row r="421" spans="1:16" ht="60" x14ac:dyDescent="0.25">
      <c r="A421" s="10" t="s">
        <v>16</v>
      </c>
      <c r="B421" s="10" t="s">
        <v>15</v>
      </c>
      <c r="C421" s="10" t="s">
        <v>14</v>
      </c>
      <c r="D421" s="15">
        <v>3</v>
      </c>
      <c r="E421" s="10" t="s">
        <v>232</v>
      </c>
      <c r="F421" s="10" t="s">
        <v>236</v>
      </c>
      <c r="G421" s="4" t="s">
        <v>235</v>
      </c>
      <c r="H421" s="6" t="s">
        <v>12</v>
      </c>
      <c r="I421" s="1">
        <v>1</v>
      </c>
      <c r="J421" s="1">
        <v>4</v>
      </c>
      <c r="K421" s="16" t="e">
        <f>#REF!*#REF!</f>
        <v>#REF!</v>
      </c>
      <c r="L421" s="6" t="s">
        <v>234</v>
      </c>
      <c r="M421" s="1">
        <v>1</v>
      </c>
      <c r="N421" s="2" t="e">
        <f>#REF!*#REF!</f>
        <v>#REF!</v>
      </c>
      <c r="O421" s="17" t="e">
        <f t="shared" si="0"/>
        <v>#REF!</v>
      </c>
      <c r="P421" s="10" t="s">
        <v>233</v>
      </c>
    </row>
    <row r="422" spans="1:16" ht="45" x14ac:dyDescent="0.25">
      <c r="A422" s="10" t="s">
        <v>16</v>
      </c>
      <c r="B422" s="10" t="s">
        <v>15</v>
      </c>
      <c r="C422" s="10" t="s">
        <v>14</v>
      </c>
      <c r="D422" s="15">
        <v>3</v>
      </c>
      <c r="E422" s="10" t="s">
        <v>232</v>
      </c>
      <c r="F422" s="10" t="s">
        <v>240</v>
      </c>
      <c r="G422" s="4" t="s">
        <v>239</v>
      </c>
      <c r="H422" s="6" t="s">
        <v>12</v>
      </c>
      <c r="I422" s="1">
        <v>1</v>
      </c>
      <c r="J422" s="1">
        <v>3</v>
      </c>
      <c r="K422" s="16" t="e">
        <f>#REF!*#REF!</f>
        <v>#REF!</v>
      </c>
      <c r="L422" s="6" t="s">
        <v>280</v>
      </c>
      <c r="M422" s="1">
        <v>0.5</v>
      </c>
      <c r="N422" s="2" t="e">
        <f>#REF!*#REF!</f>
        <v>#REF!</v>
      </c>
      <c r="O422" s="17" t="e">
        <f t="shared" si="0"/>
        <v>#REF!</v>
      </c>
      <c r="P422" s="10" t="s">
        <v>281</v>
      </c>
    </row>
    <row r="423" spans="1:16" ht="210" x14ac:dyDescent="0.25">
      <c r="A423" s="10" t="s">
        <v>16</v>
      </c>
      <c r="B423" s="10" t="s">
        <v>15</v>
      </c>
      <c r="C423" s="10" t="s">
        <v>14</v>
      </c>
      <c r="D423" s="15">
        <v>4</v>
      </c>
      <c r="E423" s="10" t="s">
        <v>217</v>
      </c>
      <c r="F423" s="10" t="s">
        <v>221</v>
      </c>
      <c r="G423" s="4" t="s">
        <v>222</v>
      </c>
      <c r="H423" s="6" t="s">
        <v>12</v>
      </c>
      <c r="I423" s="1">
        <v>2</v>
      </c>
      <c r="J423" s="1">
        <v>4</v>
      </c>
      <c r="K423" s="16" t="e">
        <f>#REF!*#REF!</f>
        <v>#REF!</v>
      </c>
      <c r="L423" s="6" t="s">
        <v>231</v>
      </c>
      <c r="M423" s="1">
        <v>0.75</v>
      </c>
      <c r="N423" s="2" t="e">
        <f>#REF!*#REF!</f>
        <v>#REF!</v>
      </c>
      <c r="O423" s="17" t="e">
        <f t="shared" si="0"/>
        <v>#REF!</v>
      </c>
      <c r="P423" s="10" t="s">
        <v>850</v>
      </c>
    </row>
    <row r="424" spans="1:16" ht="105" x14ac:dyDescent="0.25">
      <c r="A424" s="10" t="s">
        <v>16</v>
      </c>
      <c r="B424" s="10" t="s">
        <v>15</v>
      </c>
      <c r="C424" s="10" t="s">
        <v>14</v>
      </c>
      <c r="D424" s="15">
        <v>4</v>
      </c>
      <c r="E424" s="10" t="s">
        <v>217</v>
      </c>
      <c r="F424" s="10" t="s">
        <v>220</v>
      </c>
      <c r="G424" s="4" t="s">
        <v>216</v>
      </c>
      <c r="H424" s="6" t="s">
        <v>12</v>
      </c>
      <c r="I424" s="1">
        <v>2</v>
      </c>
      <c r="J424" s="1">
        <v>4</v>
      </c>
      <c r="K424" s="16" t="e">
        <f>#REF!*#REF!</f>
        <v>#REF!</v>
      </c>
      <c r="L424" s="6" t="s">
        <v>230</v>
      </c>
      <c r="M424" s="1">
        <v>0.75</v>
      </c>
      <c r="N424" s="2" t="e">
        <f>#REF!*#REF!</f>
        <v>#REF!</v>
      </c>
      <c r="O424" s="17" t="e">
        <f t="shared" si="0"/>
        <v>#REF!</v>
      </c>
      <c r="P424" s="10" t="s">
        <v>296</v>
      </c>
    </row>
    <row r="425" spans="1:16" ht="300" x14ac:dyDescent="0.25">
      <c r="A425" s="10" t="s">
        <v>16</v>
      </c>
      <c r="B425" s="10" t="s">
        <v>15</v>
      </c>
      <c r="C425" s="10" t="s">
        <v>14</v>
      </c>
      <c r="D425" s="15">
        <v>4</v>
      </c>
      <c r="E425" s="10" t="s">
        <v>217</v>
      </c>
      <c r="F425" s="10" t="s">
        <v>219</v>
      </c>
      <c r="G425" s="4" t="s">
        <v>218</v>
      </c>
      <c r="H425" s="6" t="s">
        <v>12</v>
      </c>
      <c r="I425" s="1">
        <v>2</v>
      </c>
      <c r="J425" s="1">
        <v>3</v>
      </c>
      <c r="K425" s="16" t="e">
        <f>#REF!*#REF!</f>
        <v>#REF!</v>
      </c>
      <c r="L425" s="6" t="s">
        <v>302</v>
      </c>
      <c r="M425" s="1">
        <v>0.75</v>
      </c>
      <c r="N425" s="2" t="e">
        <f>#REF!*#REF!</f>
        <v>#REF!</v>
      </c>
      <c r="O425" s="17" t="e">
        <f t="shared" si="0"/>
        <v>#REF!</v>
      </c>
      <c r="P425" s="10" t="s">
        <v>303</v>
      </c>
    </row>
    <row r="426" spans="1:16" ht="45" x14ac:dyDescent="0.25">
      <c r="A426" s="10" t="s">
        <v>16</v>
      </c>
      <c r="B426" s="10" t="s">
        <v>15</v>
      </c>
      <c r="C426" s="10" t="s">
        <v>14</v>
      </c>
      <c r="D426" s="15">
        <v>4</v>
      </c>
      <c r="E426" s="10" t="s">
        <v>217</v>
      </c>
      <c r="F426" s="10" t="s">
        <v>225</v>
      </c>
      <c r="G426" s="4" t="s">
        <v>224</v>
      </c>
      <c r="H426" s="6" t="s">
        <v>12</v>
      </c>
      <c r="I426" s="1">
        <v>1</v>
      </c>
      <c r="J426" s="1">
        <v>4</v>
      </c>
      <c r="K426" s="16" t="e">
        <f>#REF!*#REF!</f>
        <v>#REF!</v>
      </c>
      <c r="L426" s="6" t="s">
        <v>82</v>
      </c>
      <c r="M426" s="1">
        <v>0.75</v>
      </c>
      <c r="N426" s="2" t="e">
        <f>#REF!*#REF!</f>
        <v>#REF!</v>
      </c>
      <c r="O426" s="17" t="e">
        <f t="shared" si="0"/>
        <v>#REF!</v>
      </c>
      <c r="P426" s="10" t="s">
        <v>223</v>
      </c>
    </row>
    <row r="427" spans="1:16" ht="180" x14ac:dyDescent="0.25">
      <c r="A427" s="10" t="s">
        <v>16</v>
      </c>
      <c r="B427" s="10" t="s">
        <v>15</v>
      </c>
      <c r="C427" s="10" t="s">
        <v>14</v>
      </c>
      <c r="D427" s="15">
        <v>4</v>
      </c>
      <c r="E427" s="10" t="s">
        <v>217</v>
      </c>
      <c r="F427" s="10" t="s">
        <v>229</v>
      </c>
      <c r="G427" s="4" t="s">
        <v>228</v>
      </c>
      <c r="H427" s="6" t="s">
        <v>12</v>
      </c>
      <c r="I427" s="1">
        <v>1</v>
      </c>
      <c r="J427" s="1">
        <v>4</v>
      </c>
      <c r="K427" s="16" t="e">
        <f>#REF!*#REF!</f>
        <v>#REF!</v>
      </c>
      <c r="L427" s="6" t="s">
        <v>227</v>
      </c>
      <c r="M427" s="1">
        <v>0.5</v>
      </c>
      <c r="N427" s="2" t="e">
        <f>#REF!*#REF!</f>
        <v>#REF!</v>
      </c>
      <c r="O427" s="17" t="e">
        <f t="shared" si="0"/>
        <v>#REF!</v>
      </c>
      <c r="P427" s="10" t="s">
        <v>226</v>
      </c>
    </row>
    <row r="428" spans="1:16" ht="45" x14ac:dyDescent="0.25">
      <c r="A428" s="10" t="s">
        <v>16</v>
      </c>
      <c r="B428" s="10" t="s">
        <v>15</v>
      </c>
      <c r="C428" s="10" t="s">
        <v>14</v>
      </c>
      <c r="D428" s="15">
        <v>5</v>
      </c>
      <c r="E428" s="10" t="s">
        <v>209</v>
      </c>
      <c r="F428" s="10" t="s">
        <v>211</v>
      </c>
      <c r="G428" s="4" t="s">
        <v>180</v>
      </c>
      <c r="H428" s="6" t="s">
        <v>12</v>
      </c>
      <c r="I428" s="1">
        <v>2</v>
      </c>
      <c r="J428" s="1">
        <v>4</v>
      </c>
      <c r="K428" s="16" t="e">
        <f>#REF!*#REF!</f>
        <v>#REF!</v>
      </c>
      <c r="L428" s="6" t="s">
        <v>210</v>
      </c>
      <c r="M428" s="1">
        <v>0.5</v>
      </c>
      <c r="N428" s="2" t="e">
        <f>#REF!*#REF!</f>
        <v>#REF!</v>
      </c>
      <c r="O428" s="17" t="e">
        <f t="shared" si="0"/>
        <v>#REF!</v>
      </c>
      <c r="P428" s="10" t="s">
        <v>212</v>
      </c>
    </row>
    <row r="429" spans="1:16" ht="30" x14ac:dyDescent="0.25">
      <c r="A429" s="10" t="s">
        <v>16</v>
      </c>
      <c r="B429" s="10" t="s">
        <v>15</v>
      </c>
      <c r="C429" s="10" t="s">
        <v>14</v>
      </c>
      <c r="D429" s="15">
        <v>5</v>
      </c>
      <c r="E429" s="10" t="s">
        <v>209</v>
      </c>
      <c r="F429" s="10" t="s">
        <v>215</v>
      </c>
      <c r="G429" s="4" t="s">
        <v>180</v>
      </c>
      <c r="H429" s="6" t="s">
        <v>12</v>
      </c>
      <c r="I429" s="1">
        <v>1</v>
      </c>
      <c r="J429" s="1">
        <v>3</v>
      </c>
      <c r="K429" s="16" t="e">
        <f>#REF!*#REF!</f>
        <v>#REF!</v>
      </c>
      <c r="L429" s="6" t="s">
        <v>214</v>
      </c>
      <c r="M429" s="1">
        <v>1</v>
      </c>
      <c r="N429" s="2" t="e">
        <f>#REF!*#REF!</f>
        <v>#REF!</v>
      </c>
      <c r="O429" s="17" t="e">
        <f t="shared" si="0"/>
        <v>#REF!</v>
      </c>
      <c r="P429" s="10" t="s">
        <v>213</v>
      </c>
    </row>
    <row r="430" spans="1:16" ht="285" x14ac:dyDescent="0.25">
      <c r="A430" s="10" t="s">
        <v>16</v>
      </c>
      <c r="B430" s="10" t="s">
        <v>15</v>
      </c>
      <c r="C430" s="10" t="s">
        <v>14</v>
      </c>
      <c r="D430" s="15">
        <v>6</v>
      </c>
      <c r="E430" s="10" t="s">
        <v>205</v>
      </c>
      <c r="F430" s="10" t="s">
        <v>206</v>
      </c>
      <c r="G430" s="4" t="s">
        <v>203</v>
      </c>
      <c r="H430" s="6" t="s">
        <v>12</v>
      </c>
      <c r="I430" s="1">
        <v>3</v>
      </c>
      <c r="J430" s="1">
        <v>4</v>
      </c>
      <c r="K430" s="16" t="e">
        <f>#REF!*#REF!</f>
        <v>#REF!</v>
      </c>
      <c r="L430" s="6" t="s">
        <v>283</v>
      </c>
      <c r="M430" s="1">
        <v>0.75</v>
      </c>
      <c r="N430" s="2" t="e">
        <f>#REF!*#REF!</f>
        <v>#REF!</v>
      </c>
      <c r="O430" s="17" t="e">
        <f t="shared" si="0"/>
        <v>#REF!</v>
      </c>
      <c r="P430" s="10" t="s">
        <v>286</v>
      </c>
    </row>
    <row r="431" spans="1:16" ht="165" x14ac:dyDescent="0.25">
      <c r="A431" s="10" t="s">
        <v>16</v>
      </c>
      <c r="B431" s="10" t="s">
        <v>15</v>
      </c>
      <c r="C431" s="10" t="s">
        <v>14</v>
      </c>
      <c r="D431" s="15">
        <v>6</v>
      </c>
      <c r="E431" s="10" t="s">
        <v>205</v>
      </c>
      <c r="F431" s="10" t="s">
        <v>204</v>
      </c>
      <c r="G431" s="4" t="s">
        <v>203</v>
      </c>
      <c r="H431" s="6" t="s">
        <v>12</v>
      </c>
      <c r="I431" s="1">
        <v>1</v>
      </c>
      <c r="J431" s="1">
        <v>4</v>
      </c>
      <c r="K431" s="16" t="e">
        <f>#REF!*#REF!</f>
        <v>#REF!</v>
      </c>
      <c r="L431" s="6" t="s">
        <v>208</v>
      </c>
      <c r="M431" s="1">
        <v>1</v>
      </c>
      <c r="N431" s="2" t="e">
        <f>#REF!*#REF!</f>
        <v>#REF!</v>
      </c>
      <c r="O431" s="17" t="e">
        <f t="shared" si="0"/>
        <v>#REF!</v>
      </c>
      <c r="P431" s="10" t="s">
        <v>207</v>
      </c>
    </row>
    <row r="432" spans="1:16" ht="30" x14ac:dyDescent="0.25">
      <c r="A432" s="10" t="s">
        <v>16</v>
      </c>
      <c r="B432" s="10" t="s">
        <v>15</v>
      </c>
      <c r="C432" s="10" t="s">
        <v>14</v>
      </c>
      <c r="D432" s="15">
        <v>7</v>
      </c>
      <c r="E432" s="10" t="s">
        <v>193</v>
      </c>
      <c r="F432" s="10" t="s">
        <v>196</v>
      </c>
      <c r="G432" s="4" t="s">
        <v>195</v>
      </c>
      <c r="H432" s="6" t="s">
        <v>12</v>
      </c>
      <c r="I432" s="1">
        <v>2</v>
      </c>
      <c r="J432" s="1">
        <v>3</v>
      </c>
      <c r="K432" s="16" t="e">
        <f>#REF!*#REF!</f>
        <v>#REF!</v>
      </c>
      <c r="L432" s="6" t="s">
        <v>199</v>
      </c>
      <c r="M432" s="1">
        <v>0.75</v>
      </c>
      <c r="N432" s="2" t="e">
        <f>#REF!*#REF!</f>
        <v>#REF!</v>
      </c>
      <c r="O432" s="17" t="e">
        <f t="shared" si="0"/>
        <v>#REF!</v>
      </c>
      <c r="P432" s="10" t="s">
        <v>198</v>
      </c>
    </row>
    <row r="433" spans="1:16" ht="195" x14ac:dyDescent="0.25">
      <c r="A433" s="10" t="s">
        <v>16</v>
      </c>
      <c r="B433" s="10" t="s">
        <v>15</v>
      </c>
      <c r="C433" s="10" t="s">
        <v>14</v>
      </c>
      <c r="D433" s="15">
        <v>7</v>
      </c>
      <c r="E433" s="10" t="s">
        <v>193</v>
      </c>
      <c r="F433" s="10" t="s">
        <v>194</v>
      </c>
      <c r="G433" s="4" t="s">
        <v>195</v>
      </c>
      <c r="H433" s="6" t="s">
        <v>12</v>
      </c>
      <c r="I433" s="1">
        <v>1</v>
      </c>
      <c r="J433" s="1">
        <v>3</v>
      </c>
      <c r="K433" s="16" t="e">
        <f>#REF!*#REF!</f>
        <v>#REF!</v>
      </c>
      <c r="L433" s="6" t="s">
        <v>186</v>
      </c>
      <c r="M433" s="1">
        <v>1</v>
      </c>
      <c r="N433" s="2" t="e">
        <f>#REF!*#REF!</f>
        <v>#REF!</v>
      </c>
      <c r="O433" s="17" t="e">
        <f t="shared" si="0"/>
        <v>#REF!</v>
      </c>
      <c r="P433" s="10" t="s">
        <v>202</v>
      </c>
    </row>
    <row r="434" spans="1:16" ht="75" x14ac:dyDescent="0.25">
      <c r="A434" s="10" t="s">
        <v>16</v>
      </c>
      <c r="B434" s="10" t="s">
        <v>15</v>
      </c>
      <c r="C434" s="10" t="s">
        <v>14</v>
      </c>
      <c r="D434" s="15">
        <v>7</v>
      </c>
      <c r="E434" s="10" t="s">
        <v>193</v>
      </c>
      <c r="F434" s="10" t="s">
        <v>197</v>
      </c>
      <c r="G434" s="4" t="s">
        <v>195</v>
      </c>
      <c r="H434" s="6" t="s">
        <v>12</v>
      </c>
      <c r="I434" s="1">
        <v>1</v>
      </c>
      <c r="J434" s="1">
        <v>3</v>
      </c>
      <c r="K434" s="16" t="e">
        <f>#REF!*#REF!</f>
        <v>#REF!</v>
      </c>
      <c r="L434" s="6" t="s">
        <v>201</v>
      </c>
      <c r="M434" s="1">
        <v>0.75</v>
      </c>
      <c r="N434" s="2" t="e">
        <f>#REF!*#REF!</f>
        <v>#REF!</v>
      </c>
      <c r="O434" s="17" t="e">
        <f t="shared" si="0"/>
        <v>#REF!</v>
      </c>
      <c r="P434" s="10" t="s">
        <v>200</v>
      </c>
    </row>
    <row r="435" spans="1:16" ht="60" x14ac:dyDescent="0.25">
      <c r="A435" s="10" t="s">
        <v>16</v>
      </c>
      <c r="B435" s="10" t="s">
        <v>15</v>
      </c>
      <c r="C435" s="10" t="s">
        <v>14</v>
      </c>
      <c r="D435" s="15">
        <v>8</v>
      </c>
      <c r="E435" s="10" t="s">
        <v>184</v>
      </c>
      <c r="F435" s="10" t="s">
        <v>185</v>
      </c>
      <c r="G435" s="4" t="s">
        <v>182</v>
      </c>
      <c r="H435" s="6" t="s">
        <v>12</v>
      </c>
      <c r="I435" s="1">
        <v>3</v>
      </c>
      <c r="J435" s="1">
        <v>4</v>
      </c>
      <c r="K435" s="16" t="e">
        <f>#REF!*#REF!</f>
        <v>#REF!</v>
      </c>
      <c r="L435" s="6" t="s">
        <v>188</v>
      </c>
      <c r="M435" s="1">
        <v>0.5</v>
      </c>
      <c r="N435" s="2" t="e">
        <f>#REF!*#REF!</f>
        <v>#REF!</v>
      </c>
      <c r="O435" s="17" t="e">
        <f t="shared" si="0"/>
        <v>#REF!</v>
      </c>
      <c r="P435" s="10" t="s">
        <v>297</v>
      </c>
    </row>
    <row r="436" spans="1:16" ht="210" x14ac:dyDescent="0.25">
      <c r="A436" s="10" t="s">
        <v>16</v>
      </c>
      <c r="B436" s="10" t="s">
        <v>15</v>
      </c>
      <c r="C436" s="10" t="s">
        <v>14</v>
      </c>
      <c r="D436" s="15">
        <v>8</v>
      </c>
      <c r="E436" s="10" t="s">
        <v>184</v>
      </c>
      <c r="F436" s="10" t="s">
        <v>183</v>
      </c>
      <c r="G436" s="4" t="s">
        <v>182</v>
      </c>
      <c r="H436" s="6" t="s">
        <v>12</v>
      </c>
      <c r="I436" s="1">
        <v>1</v>
      </c>
      <c r="J436" s="1">
        <v>4</v>
      </c>
      <c r="K436" s="16" t="e">
        <f>#REF!*#REF!</f>
        <v>#REF!</v>
      </c>
      <c r="L436" s="6" t="s">
        <v>192</v>
      </c>
      <c r="M436" s="1">
        <v>1</v>
      </c>
      <c r="N436" s="2" t="e">
        <f>#REF!*#REF!</f>
        <v>#REF!</v>
      </c>
      <c r="O436" s="17" t="e">
        <f t="shared" si="0"/>
        <v>#REF!</v>
      </c>
      <c r="P436" s="10" t="s">
        <v>852</v>
      </c>
    </row>
    <row r="437" spans="1:16" ht="120" x14ac:dyDescent="0.25">
      <c r="A437" s="10" t="s">
        <v>16</v>
      </c>
      <c r="B437" s="10" t="s">
        <v>15</v>
      </c>
      <c r="C437" s="10" t="s">
        <v>14</v>
      </c>
      <c r="D437" s="15">
        <v>8</v>
      </c>
      <c r="E437" s="10" t="s">
        <v>184</v>
      </c>
      <c r="F437" s="10" t="s">
        <v>183</v>
      </c>
      <c r="G437" s="4" t="s">
        <v>182</v>
      </c>
      <c r="H437" s="6" t="s">
        <v>12</v>
      </c>
      <c r="I437" s="1">
        <v>2</v>
      </c>
      <c r="J437" s="1">
        <v>4</v>
      </c>
      <c r="K437" s="16" t="e">
        <f>#REF!*#REF!</f>
        <v>#REF!</v>
      </c>
      <c r="L437" s="6" t="s">
        <v>191</v>
      </c>
      <c r="M437" s="1">
        <v>0.5</v>
      </c>
      <c r="N437" s="2" t="e">
        <f>#REF!*#REF!</f>
        <v>#REF!</v>
      </c>
      <c r="O437" s="17" t="e">
        <f t="shared" si="0"/>
        <v>#REF!</v>
      </c>
      <c r="P437" s="10"/>
    </row>
    <row r="438" spans="1:16" ht="30" x14ac:dyDescent="0.25">
      <c r="A438" s="10" t="s">
        <v>16</v>
      </c>
      <c r="B438" s="10" t="s">
        <v>15</v>
      </c>
      <c r="C438" s="10" t="s">
        <v>14</v>
      </c>
      <c r="D438" s="15">
        <v>8</v>
      </c>
      <c r="E438" s="10" t="s">
        <v>184</v>
      </c>
      <c r="F438" s="10" t="s">
        <v>187</v>
      </c>
      <c r="G438" s="4" t="s">
        <v>182</v>
      </c>
      <c r="H438" s="6" t="s">
        <v>12</v>
      </c>
      <c r="I438" s="1">
        <v>1</v>
      </c>
      <c r="J438" s="1">
        <v>3</v>
      </c>
      <c r="K438" s="16" t="e">
        <f>#REF!*#REF!</f>
        <v>#REF!</v>
      </c>
      <c r="L438" s="6" t="s">
        <v>190</v>
      </c>
      <c r="M438" s="1">
        <v>0.75</v>
      </c>
      <c r="N438" s="2" t="e">
        <f>#REF!*#REF!</f>
        <v>#REF!</v>
      </c>
      <c r="O438" s="17" t="e">
        <f t="shared" si="0"/>
        <v>#REF!</v>
      </c>
      <c r="P438" s="10" t="s">
        <v>189</v>
      </c>
    </row>
    <row r="439" spans="1:16" ht="60" x14ac:dyDescent="0.25">
      <c r="A439" s="10" t="s">
        <v>16</v>
      </c>
      <c r="B439" s="10" t="s">
        <v>15</v>
      </c>
      <c r="C439" s="10" t="s">
        <v>14</v>
      </c>
      <c r="D439" s="15">
        <v>9</v>
      </c>
      <c r="E439" s="10" t="s">
        <v>177</v>
      </c>
      <c r="F439" s="10" t="s">
        <v>181</v>
      </c>
      <c r="G439" s="4" t="s">
        <v>180</v>
      </c>
      <c r="H439" s="6" t="s">
        <v>12</v>
      </c>
      <c r="I439" s="1">
        <v>2</v>
      </c>
      <c r="J439" s="1">
        <v>3</v>
      </c>
      <c r="K439" s="16" t="e">
        <f>#REF!*#REF!</f>
        <v>#REF!</v>
      </c>
      <c r="L439" s="6" t="s">
        <v>179</v>
      </c>
      <c r="M439" s="1">
        <v>0.75</v>
      </c>
      <c r="N439" s="2" t="e">
        <f>#REF!*#REF!</f>
        <v>#REF!</v>
      </c>
      <c r="O439" s="17" t="e">
        <f t="shared" si="0"/>
        <v>#REF!</v>
      </c>
      <c r="P439" s="10" t="s">
        <v>178</v>
      </c>
    </row>
    <row r="440" spans="1:16" ht="30" x14ac:dyDescent="0.25">
      <c r="A440" s="10" t="s">
        <v>16</v>
      </c>
      <c r="B440" s="10" t="s">
        <v>15</v>
      </c>
      <c r="C440" s="10" t="s">
        <v>14</v>
      </c>
      <c r="D440" s="15">
        <v>10</v>
      </c>
      <c r="E440" s="10" t="s">
        <v>172</v>
      </c>
      <c r="F440" s="10" t="s">
        <v>173</v>
      </c>
      <c r="G440" s="4" t="s">
        <v>175</v>
      </c>
      <c r="H440" s="6" t="s">
        <v>12</v>
      </c>
      <c r="I440" s="1">
        <v>1</v>
      </c>
      <c r="J440" s="1">
        <v>4</v>
      </c>
      <c r="K440" s="16" t="e">
        <f>#REF!*#REF!</f>
        <v>#REF!</v>
      </c>
      <c r="L440" s="6" t="s">
        <v>174</v>
      </c>
      <c r="M440" s="1">
        <v>0.5</v>
      </c>
      <c r="N440" s="2" t="e">
        <f>#REF!*#REF!</f>
        <v>#REF!</v>
      </c>
      <c r="O440" s="17" t="e">
        <f t="shared" si="0"/>
        <v>#REF!</v>
      </c>
      <c r="P440" s="10" t="s">
        <v>176</v>
      </c>
    </row>
    <row r="441" spans="1:16" ht="75" x14ac:dyDescent="0.25">
      <c r="A441" s="10" t="s">
        <v>16</v>
      </c>
      <c r="B441" s="10" t="s">
        <v>15</v>
      </c>
      <c r="C441" s="10" t="s">
        <v>14</v>
      </c>
      <c r="D441" s="15">
        <v>11</v>
      </c>
      <c r="E441" s="10" t="s">
        <v>168</v>
      </c>
      <c r="F441" s="10" t="s">
        <v>169</v>
      </c>
      <c r="G441" s="4" t="s">
        <v>170</v>
      </c>
      <c r="H441" s="6" t="s">
        <v>12</v>
      </c>
      <c r="I441" s="1">
        <v>3</v>
      </c>
      <c r="J441" s="1">
        <v>4</v>
      </c>
      <c r="K441" s="16" t="e">
        <f>#REF!*#REF!</f>
        <v>#REF!</v>
      </c>
      <c r="L441" s="6" t="s">
        <v>171</v>
      </c>
      <c r="M441" s="1">
        <v>0.5</v>
      </c>
      <c r="N441" s="2" t="e">
        <f>#REF!*#REF!</f>
        <v>#REF!</v>
      </c>
      <c r="O441" s="17" t="e">
        <f t="shared" si="0"/>
        <v>#REF!</v>
      </c>
      <c r="P441" s="10" t="s">
        <v>298</v>
      </c>
    </row>
    <row r="442" spans="1:16" ht="135" x14ac:dyDescent="0.25">
      <c r="A442" s="10" t="s">
        <v>16</v>
      </c>
      <c r="B442" s="10" t="s">
        <v>15</v>
      </c>
      <c r="C442" s="10" t="s">
        <v>14</v>
      </c>
      <c r="D442" s="15">
        <v>12</v>
      </c>
      <c r="E442" s="10" t="s">
        <v>165</v>
      </c>
      <c r="F442" s="10" t="s">
        <v>164</v>
      </c>
      <c r="G442" s="4" t="s">
        <v>166</v>
      </c>
      <c r="H442" s="6" t="s">
        <v>12</v>
      </c>
      <c r="I442" s="1">
        <v>2</v>
      </c>
      <c r="J442" s="1">
        <v>4</v>
      </c>
      <c r="K442" s="16" t="e">
        <f>#REF!*#REF!</f>
        <v>#REF!</v>
      </c>
      <c r="L442" s="6" t="s">
        <v>278</v>
      </c>
      <c r="M442" s="1">
        <v>1</v>
      </c>
      <c r="N442" s="2" t="e">
        <f>#REF!*#REF!</f>
        <v>#REF!</v>
      </c>
      <c r="O442" s="17" t="e">
        <f t="shared" si="0"/>
        <v>#REF!</v>
      </c>
      <c r="P442" s="10" t="s">
        <v>277</v>
      </c>
    </row>
    <row r="443" spans="1:16" ht="60" x14ac:dyDescent="0.25">
      <c r="A443" s="10" t="s">
        <v>16</v>
      </c>
      <c r="B443" s="10" t="s">
        <v>15</v>
      </c>
      <c r="C443" s="10" t="s">
        <v>14</v>
      </c>
      <c r="D443" s="15">
        <v>13</v>
      </c>
      <c r="E443" s="10" t="s">
        <v>160</v>
      </c>
      <c r="F443" s="10" t="s">
        <v>161</v>
      </c>
      <c r="G443" s="4" t="s">
        <v>58</v>
      </c>
      <c r="H443" s="6" t="s">
        <v>12</v>
      </c>
      <c r="I443" s="1">
        <v>1</v>
      </c>
      <c r="J443" s="1">
        <v>4</v>
      </c>
      <c r="K443" s="16" t="e">
        <f>#REF!*#REF!</f>
        <v>#REF!</v>
      </c>
      <c r="L443" s="6" t="s">
        <v>163</v>
      </c>
      <c r="M443" s="1">
        <v>1</v>
      </c>
      <c r="N443" s="2" t="e">
        <f>#REF!*#REF!</f>
        <v>#REF!</v>
      </c>
      <c r="O443" s="17" t="e">
        <f t="shared" si="0"/>
        <v>#REF!</v>
      </c>
      <c r="P443" s="10" t="s">
        <v>162</v>
      </c>
    </row>
    <row r="444" spans="1:16" ht="45" x14ac:dyDescent="0.25">
      <c r="A444" s="10" t="s">
        <v>16</v>
      </c>
      <c r="B444" s="10" t="s">
        <v>15</v>
      </c>
      <c r="C444" s="10" t="s">
        <v>14</v>
      </c>
      <c r="D444" s="15">
        <v>15</v>
      </c>
      <c r="E444" s="10" t="s">
        <v>155</v>
      </c>
      <c r="F444" s="10" t="s">
        <v>156</v>
      </c>
      <c r="G444" s="4" t="s">
        <v>157</v>
      </c>
      <c r="H444" s="6" t="s">
        <v>12</v>
      </c>
      <c r="I444" s="1">
        <v>2</v>
      </c>
      <c r="J444" s="1">
        <v>3</v>
      </c>
      <c r="K444" s="16" t="e">
        <f>#REF!*#REF!</f>
        <v>#REF!</v>
      </c>
      <c r="L444" s="6" t="s">
        <v>159</v>
      </c>
      <c r="M444" s="1">
        <v>0.75</v>
      </c>
      <c r="N444" s="2" t="e">
        <f>#REF!*#REF!</f>
        <v>#REF!</v>
      </c>
      <c r="O444" s="17" t="e">
        <f t="shared" si="0"/>
        <v>#REF!</v>
      </c>
      <c r="P444" s="10" t="s">
        <v>158</v>
      </c>
    </row>
    <row r="445" spans="1:16" ht="120" x14ac:dyDescent="0.25">
      <c r="A445" s="10" t="s">
        <v>16</v>
      </c>
      <c r="B445" s="10" t="s">
        <v>15</v>
      </c>
      <c r="C445" s="10" t="s">
        <v>14</v>
      </c>
      <c r="D445" s="15">
        <v>16</v>
      </c>
      <c r="E445" s="10" t="s">
        <v>142</v>
      </c>
      <c r="F445" s="10" t="s">
        <v>141</v>
      </c>
      <c r="G445" s="4" t="s">
        <v>140</v>
      </c>
      <c r="H445" s="6" t="s">
        <v>12</v>
      </c>
      <c r="I445" s="1">
        <v>2</v>
      </c>
      <c r="J445" s="1">
        <v>4</v>
      </c>
      <c r="K445" s="16" t="e">
        <f>#REF!*#REF!</f>
        <v>#REF!</v>
      </c>
      <c r="L445" s="6" t="s">
        <v>274</v>
      </c>
      <c r="M445" s="1">
        <v>1</v>
      </c>
      <c r="N445" s="2" t="e">
        <f>#REF!*#REF!</f>
        <v>#REF!</v>
      </c>
      <c r="O445" s="17" t="e">
        <f t="shared" si="0"/>
        <v>#REF!</v>
      </c>
      <c r="P445" s="10" t="s">
        <v>288</v>
      </c>
    </row>
    <row r="446" spans="1:16" ht="120" x14ac:dyDescent="0.25">
      <c r="A446" s="10" t="s">
        <v>16</v>
      </c>
      <c r="B446" s="10" t="s">
        <v>15</v>
      </c>
      <c r="C446" s="10" t="s">
        <v>14</v>
      </c>
      <c r="D446" s="15">
        <v>16</v>
      </c>
      <c r="E446" s="10" t="s">
        <v>142</v>
      </c>
      <c r="F446" s="10" t="s">
        <v>152</v>
      </c>
      <c r="G446" s="4" t="s">
        <v>151</v>
      </c>
      <c r="H446" s="6" t="s">
        <v>12</v>
      </c>
      <c r="I446" s="1">
        <v>1</v>
      </c>
      <c r="J446" s="1">
        <v>4</v>
      </c>
      <c r="K446" s="16" t="e">
        <f>#REF!*#REF!</f>
        <v>#REF!</v>
      </c>
      <c r="L446" s="6" t="s">
        <v>150</v>
      </c>
      <c r="M446" s="1">
        <v>0.75</v>
      </c>
      <c r="N446" s="2" t="e">
        <f>#REF!*#REF!</f>
        <v>#REF!</v>
      </c>
      <c r="O446" s="17" t="e">
        <f t="shared" si="0"/>
        <v>#REF!</v>
      </c>
      <c r="P446" s="10" t="s">
        <v>149</v>
      </c>
    </row>
    <row r="447" spans="1:16" ht="45" x14ac:dyDescent="0.25">
      <c r="A447" s="10" t="s">
        <v>16</v>
      </c>
      <c r="B447" s="10" t="s">
        <v>15</v>
      </c>
      <c r="C447" s="10" t="s">
        <v>14</v>
      </c>
      <c r="D447" s="15">
        <v>16</v>
      </c>
      <c r="E447" s="10" t="s">
        <v>142</v>
      </c>
      <c r="F447" s="10" t="s">
        <v>148</v>
      </c>
      <c r="G447" s="4" t="s">
        <v>147</v>
      </c>
      <c r="H447" s="6" t="s">
        <v>12</v>
      </c>
      <c r="I447" s="1">
        <v>1</v>
      </c>
      <c r="J447" s="1">
        <v>3</v>
      </c>
      <c r="K447" s="16" t="e">
        <f>#REF!*#REF!</f>
        <v>#REF!</v>
      </c>
      <c r="L447" s="6" t="s">
        <v>146</v>
      </c>
      <c r="M447" s="1">
        <v>0.75</v>
      </c>
      <c r="N447" s="2" t="e">
        <f>#REF!*#REF!</f>
        <v>#REF!</v>
      </c>
      <c r="O447" s="17" t="e">
        <f t="shared" si="0"/>
        <v>#REF!</v>
      </c>
      <c r="P447" s="10" t="s">
        <v>145</v>
      </c>
    </row>
    <row r="448" spans="1:16" ht="45" x14ac:dyDescent="0.25">
      <c r="A448" s="10" t="s">
        <v>16</v>
      </c>
      <c r="B448" s="10" t="s">
        <v>15</v>
      </c>
      <c r="C448" s="10" t="s">
        <v>14</v>
      </c>
      <c r="D448" s="15">
        <v>16</v>
      </c>
      <c r="E448" s="10" t="s">
        <v>142</v>
      </c>
      <c r="F448" s="10" t="s">
        <v>143</v>
      </c>
      <c r="G448" s="4" t="s">
        <v>144</v>
      </c>
      <c r="H448" s="6" t="s">
        <v>12</v>
      </c>
      <c r="I448" s="1">
        <v>1</v>
      </c>
      <c r="J448" s="1">
        <v>4</v>
      </c>
      <c r="K448" s="16" t="e">
        <f>#REF!*#REF!</f>
        <v>#REF!</v>
      </c>
      <c r="L448" s="6" t="s">
        <v>154</v>
      </c>
      <c r="M448" s="1">
        <v>0.5</v>
      </c>
      <c r="N448" s="2" t="e">
        <f>#REF!*#REF!</f>
        <v>#REF!</v>
      </c>
      <c r="O448" s="17" t="e">
        <f t="shared" si="0"/>
        <v>#REF!</v>
      </c>
      <c r="P448" s="10" t="s">
        <v>153</v>
      </c>
    </row>
    <row r="449" spans="1:16" ht="75" x14ac:dyDescent="0.25">
      <c r="A449" s="10" t="s">
        <v>16</v>
      </c>
      <c r="B449" s="10" t="s">
        <v>15</v>
      </c>
      <c r="C449" s="10" t="s">
        <v>14</v>
      </c>
      <c r="D449" s="15">
        <v>17</v>
      </c>
      <c r="E449" s="10" t="s">
        <v>136</v>
      </c>
      <c r="F449" s="10" t="s">
        <v>138</v>
      </c>
      <c r="G449" s="4" t="s">
        <v>137</v>
      </c>
      <c r="H449" s="6" t="s">
        <v>12</v>
      </c>
      <c r="I449" s="1">
        <v>3</v>
      </c>
      <c r="J449" s="1">
        <v>3</v>
      </c>
      <c r="K449" s="16" t="e">
        <f>#REF!*#REF!</f>
        <v>#REF!</v>
      </c>
      <c r="L449" s="6" t="s">
        <v>139</v>
      </c>
      <c r="M449" s="1">
        <v>0.75</v>
      </c>
      <c r="N449" s="2" t="e">
        <f>#REF!*#REF!</f>
        <v>#REF!</v>
      </c>
      <c r="O449" s="17" t="e">
        <f t="shared" si="0"/>
        <v>#REF!</v>
      </c>
      <c r="P449" s="10" t="s">
        <v>294</v>
      </c>
    </row>
    <row r="450" spans="1:16" ht="165" x14ac:dyDescent="0.25">
      <c r="A450" s="10" t="s">
        <v>16</v>
      </c>
      <c r="B450" s="10" t="s">
        <v>15</v>
      </c>
      <c r="C450" s="10" t="s">
        <v>14</v>
      </c>
      <c r="D450" s="15">
        <v>18</v>
      </c>
      <c r="E450" s="10" t="s">
        <v>129</v>
      </c>
      <c r="F450" s="10" t="s">
        <v>131</v>
      </c>
      <c r="G450" s="4" t="s">
        <v>58</v>
      </c>
      <c r="H450" s="6" t="s">
        <v>12</v>
      </c>
      <c r="I450" s="1">
        <v>2</v>
      </c>
      <c r="J450" s="1">
        <v>4</v>
      </c>
      <c r="K450" s="16" t="e">
        <f>#REF!*#REF!</f>
        <v>#REF!</v>
      </c>
      <c r="L450" s="6" t="s">
        <v>133</v>
      </c>
      <c r="M450" s="1">
        <v>0.5</v>
      </c>
      <c r="N450" s="2" t="e">
        <f>#REF!*#REF!</f>
        <v>#REF!</v>
      </c>
      <c r="O450" s="17" t="e">
        <f t="shared" si="0"/>
        <v>#REF!</v>
      </c>
      <c r="P450" s="10" t="s">
        <v>132</v>
      </c>
    </row>
    <row r="451" spans="1:16" ht="30" x14ac:dyDescent="0.25">
      <c r="A451" s="10" t="s">
        <v>16</v>
      </c>
      <c r="B451" s="10" t="s">
        <v>15</v>
      </c>
      <c r="C451" s="10" t="s">
        <v>14</v>
      </c>
      <c r="D451" s="15">
        <v>18</v>
      </c>
      <c r="E451" s="10" t="s">
        <v>129</v>
      </c>
      <c r="F451" s="10" t="s">
        <v>130</v>
      </c>
      <c r="G451" s="4" t="s">
        <v>58</v>
      </c>
      <c r="H451" s="6" t="s">
        <v>12</v>
      </c>
      <c r="I451" s="1">
        <v>2</v>
      </c>
      <c r="J451" s="1">
        <v>3</v>
      </c>
      <c r="K451" s="16" t="e">
        <f>#REF!*#REF!</f>
        <v>#REF!</v>
      </c>
      <c r="L451" s="6" t="s">
        <v>135</v>
      </c>
      <c r="M451" s="1">
        <v>0.5</v>
      </c>
      <c r="N451" s="2" t="e">
        <f>#REF!*#REF!</f>
        <v>#REF!</v>
      </c>
      <c r="O451" s="17" t="e">
        <f t="shared" si="0"/>
        <v>#REF!</v>
      </c>
      <c r="P451" s="10" t="s">
        <v>134</v>
      </c>
    </row>
    <row r="452" spans="1:16" ht="75" x14ac:dyDescent="0.25">
      <c r="A452" s="10" t="s">
        <v>16</v>
      </c>
      <c r="B452" s="10" t="s">
        <v>15</v>
      </c>
      <c r="C452" s="10" t="s">
        <v>14</v>
      </c>
      <c r="D452" s="15">
        <v>19</v>
      </c>
      <c r="E452" s="10" t="s">
        <v>127</v>
      </c>
      <c r="F452" s="10" t="s">
        <v>126</v>
      </c>
      <c r="G452" s="4" t="s">
        <v>128</v>
      </c>
      <c r="H452" s="6" t="s">
        <v>12</v>
      </c>
      <c r="I452" s="1">
        <v>3</v>
      </c>
      <c r="J452" s="1">
        <v>3</v>
      </c>
      <c r="K452" s="16" t="e">
        <f>#REF!*#REF!</f>
        <v>#REF!</v>
      </c>
      <c r="L452" s="54" t="s">
        <v>279</v>
      </c>
      <c r="M452" s="11">
        <v>0.75</v>
      </c>
      <c r="N452" s="12" t="e">
        <f>#REF!*#REF!</f>
        <v>#REF!</v>
      </c>
      <c r="O452" s="17" t="e">
        <f t="shared" si="0"/>
        <v>#REF!</v>
      </c>
      <c r="P452" s="10" t="s">
        <v>290</v>
      </c>
    </row>
    <row r="453" spans="1:16" ht="60" x14ac:dyDescent="0.25">
      <c r="A453" s="10" t="s">
        <v>16</v>
      </c>
      <c r="B453" s="10" t="s">
        <v>15</v>
      </c>
      <c r="C453" s="10" t="s">
        <v>14</v>
      </c>
      <c r="D453" s="15">
        <v>20</v>
      </c>
      <c r="E453" s="10" t="s">
        <v>122</v>
      </c>
      <c r="F453" s="10" t="s">
        <v>124</v>
      </c>
      <c r="G453" s="4" t="s">
        <v>123</v>
      </c>
      <c r="H453" s="6" t="s">
        <v>12</v>
      </c>
      <c r="I453" s="1">
        <v>2</v>
      </c>
      <c r="J453" s="1">
        <v>4</v>
      </c>
      <c r="K453" s="16" t="e">
        <f>#REF!*#REF!</f>
        <v>#REF!</v>
      </c>
      <c r="L453" s="6" t="s">
        <v>125</v>
      </c>
      <c r="M453" s="1">
        <v>0.75</v>
      </c>
      <c r="N453" s="2" t="e">
        <f>#REF!*#REF!</f>
        <v>#REF!</v>
      </c>
      <c r="O453" s="17" t="e">
        <f t="shared" si="0"/>
        <v>#REF!</v>
      </c>
      <c r="P453" s="10" t="s">
        <v>299</v>
      </c>
    </row>
    <row r="454" spans="1:16" ht="75" x14ac:dyDescent="0.25">
      <c r="A454" s="10" t="s">
        <v>16</v>
      </c>
      <c r="B454" s="10" t="s">
        <v>15</v>
      </c>
      <c r="C454" s="10" t="s">
        <v>14</v>
      </c>
      <c r="D454" s="15">
        <v>21</v>
      </c>
      <c r="E454" s="10" t="s">
        <v>118</v>
      </c>
      <c r="F454" s="10" t="s">
        <v>120</v>
      </c>
      <c r="G454" s="4" t="s">
        <v>50</v>
      </c>
      <c r="H454" s="6" t="s">
        <v>12</v>
      </c>
      <c r="I454" s="1">
        <v>2</v>
      </c>
      <c r="J454" s="1">
        <v>4</v>
      </c>
      <c r="K454" s="16" t="e">
        <f>#REF!*#REF!</f>
        <v>#REF!</v>
      </c>
      <c r="L454" s="6" t="s">
        <v>119</v>
      </c>
      <c r="M454" s="1">
        <v>0.75</v>
      </c>
      <c r="N454" s="2" t="e">
        <f>#REF!*#REF!</f>
        <v>#REF!</v>
      </c>
      <c r="O454" s="17" t="e">
        <f t="shared" si="0"/>
        <v>#REF!</v>
      </c>
      <c r="P454" s="10" t="s">
        <v>121</v>
      </c>
    </row>
    <row r="455" spans="1:16" ht="120" x14ac:dyDescent="0.25">
      <c r="A455" s="10" t="s">
        <v>16</v>
      </c>
      <c r="B455" s="10" t="s">
        <v>15</v>
      </c>
      <c r="C455" s="10" t="s">
        <v>14</v>
      </c>
      <c r="D455" s="15">
        <v>22</v>
      </c>
      <c r="E455" s="10" t="s">
        <v>470</v>
      </c>
      <c r="F455" s="10" t="s">
        <v>116</v>
      </c>
      <c r="G455" s="4" t="s">
        <v>115</v>
      </c>
      <c r="H455" s="6" t="s">
        <v>12</v>
      </c>
      <c r="I455" s="1">
        <v>3</v>
      </c>
      <c r="J455" s="1">
        <v>3</v>
      </c>
      <c r="K455" s="16" t="e">
        <f>#REF!*#REF!</f>
        <v>#REF!</v>
      </c>
      <c r="L455" s="6" t="s">
        <v>117</v>
      </c>
      <c r="M455" s="1">
        <v>0.75</v>
      </c>
      <c r="N455" s="2" t="e">
        <f>#REF!*#REF!</f>
        <v>#REF!</v>
      </c>
      <c r="O455" s="17" t="e">
        <f t="shared" si="0"/>
        <v>#REF!</v>
      </c>
      <c r="P455" s="10" t="s">
        <v>291</v>
      </c>
    </row>
    <row r="456" spans="1:16" ht="135" x14ac:dyDescent="0.25">
      <c r="A456" s="10" t="s">
        <v>16</v>
      </c>
      <c r="B456" s="10" t="s">
        <v>15</v>
      </c>
      <c r="C456" s="10" t="s">
        <v>14</v>
      </c>
      <c r="D456" s="15">
        <v>23</v>
      </c>
      <c r="E456" s="10" t="s">
        <v>821</v>
      </c>
      <c r="F456" s="10" t="s">
        <v>114</v>
      </c>
      <c r="G456" s="4" t="s">
        <v>115</v>
      </c>
      <c r="H456" s="6" t="s">
        <v>12</v>
      </c>
      <c r="I456" s="1">
        <v>3</v>
      </c>
      <c r="J456" s="1">
        <v>4</v>
      </c>
      <c r="K456" s="16" t="e">
        <f>#REF!*#REF!</f>
        <v>#REF!</v>
      </c>
      <c r="L456" s="6" t="s">
        <v>284</v>
      </c>
      <c r="M456" s="1">
        <v>0.75</v>
      </c>
      <c r="N456" s="2" t="e">
        <f>#REF!*#REF!</f>
        <v>#REF!</v>
      </c>
      <c r="O456" s="17" t="e">
        <f t="shared" si="0"/>
        <v>#REF!</v>
      </c>
      <c r="P456" s="10" t="s">
        <v>846</v>
      </c>
    </row>
    <row r="457" spans="1:16" ht="179.25" x14ac:dyDescent="0.25">
      <c r="A457" s="10" t="s">
        <v>16</v>
      </c>
      <c r="B457" s="10" t="s">
        <v>15</v>
      </c>
      <c r="C457" s="10" t="s">
        <v>14</v>
      </c>
      <c r="D457" s="15">
        <v>23</v>
      </c>
      <c r="E457" s="10" t="s">
        <v>821</v>
      </c>
      <c r="F457" s="10" t="s">
        <v>113</v>
      </c>
      <c r="G457" s="4" t="s">
        <v>58</v>
      </c>
      <c r="H457" s="6" t="s">
        <v>12</v>
      </c>
      <c r="I457" s="1">
        <v>4</v>
      </c>
      <c r="J457" s="1">
        <v>4</v>
      </c>
      <c r="K457" s="16" t="e">
        <f>#REF!*#REF!</f>
        <v>#REF!</v>
      </c>
      <c r="L457" s="55" t="s">
        <v>285</v>
      </c>
      <c r="M457" s="1">
        <v>0.5</v>
      </c>
      <c r="N457" s="2" t="e">
        <f>#REF!*#REF!</f>
        <v>#REF!</v>
      </c>
      <c r="O457" s="17" t="e">
        <f t="shared" si="0"/>
        <v>#REF!</v>
      </c>
      <c r="P457" s="10" t="s">
        <v>1010</v>
      </c>
    </row>
    <row r="458" spans="1:16" ht="45" x14ac:dyDescent="0.25">
      <c r="A458" s="10" t="s">
        <v>16</v>
      </c>
      <c r="B458" s="10" t="s">
        <v>15</v>
      </c>
      <c r="C458" s="10" t="s">
        <v>14</v>
      </c>
      <c r="D458" s="15">
        <v>24</v>
      </c>
      <c r="E458" s="10" t="s">
        <v>99</v>
      </c>
      <c r="F458" s="10" t="s">
        <v>98</v>
      </c>
      <c r="G458" s="4" t="s">
        <v>97</v>
      </c>
      <c r="H458" s="6" t="s">
        <v>12</v>
      </c>
      <c r="I458" s="1">
        <v>2</v>
      </c>
      <c r="J458" s="1">
        <v>3</v>
      </c>
      <c r="K458" s="16" t="e">
        <f>#REF!*#REF!</f>
        <v>#REF!</v>
      </c>
      <c r="L458" s="6" t="s">
        <v>106</v>
      </c>
      <c r="M458" s="1">
        <v>0.5</v>
      </c>
      <c r="N458" s="2" t="e">
        <f>#REF!*#REF!</f>
        <v>#REF!</v>
      </c>
      <c r="O458" s="17" t="e">
        <f t="shared" si="0"/>
        <v>#REF!</v>
      </c>
      <c r="P458" s="10" t="s">
        <v>104</v>
      </c>
    </row>
    <row r="459" spans="1:16" ht="60" x14ac:dyDescent="0.25">
      <c r="A459" s="10" t="s">
        <v>16</v>
      </c>
      <c r="B459" s="10" t="s">
        <v>15</v>
      </c>
      <c r="C459" s="10" t="s">
        <v>14</v>
      </c>
      <c r="D459" s="15">
        <v>24</v>
      </c>
      <c r="E459" s="10" t="s">
        <v>99</v>
      </c>
      <c r="F459" s="10" t="s">
        <v>103</v>
      </c>
      <c r="G459" s="4" t="s">
        <v>108</v>
      </c>
      <c r="H459" s="6" t="s">
        <v>12</v>
      </c>
      <c r="I459" s="1">
        <v>2</v>
      </c>
      <c r="J459" s="1">
        <v>3</v>
      </c>
      <c r="K459" s="16" t="e">
        <f>#REF!*#REF!</f>
        <v>#REF!</v>
      </c>
      <c r="L459" s="6" t="s">
        <v>107</v>
      </c>
      <c r="M459" s="1">
        <v>0.5</v>
      </c>
      <c r="N459" s="2" t="e">
        <f>#REF!*#REF!</f>
        <v>#REF!</v>
      </c>
      <c r="O459" s="17" t="e">
        <f t="shared" si="0"/>
        <v>#REF!</v>
      </c>
      <c r="P459" s="10"/>
    </row>
    <row r="460" spans="1:16" ht="90" x14ac:dyDescent="0.25">
      <c r="A460" s="10" t="s">
        <v>16</v>
      </c>
      <c r="B460" s="10" t="s">
        <v>15</v>
      </c>
      <c r="C460" s="10" t="s">
        <v>14</v>
      </c>
      <c r="D460" s="15">
        <v>24</v>
      </c>
      <c r="E460" s="10" t="s">
        <v>99</v>
      </c>
      <c r="F460" s="10" t="s">
        <v>102</v>
      </c>
      <c r="G460" s="4" t="s">
        <v>101</v>
      </c>
      <c r="H460" s="6" t="s">
        <v>12</v>
      </c>
      <c r="I460" s="1">
        <v>2</v>
      </c>
      <c r="J460" s="1">
        <v>3</v>
      </c>
      <c r="K460" s="16" t="e">
        <f>#REF!*#REF!</f>
        <v>#REF!</v>
      </c>
      <c r="L460" s="6" t="s">
        <v>105</v>
      </c>
      <c r="M460" s="1">
        <v>0.5</v>
      </c>
      <c r="N460" s="2" t="e">
        <f>#REF!*#REF!</f>
        <v>#REF!</v>
      </c>
      <c r="O460" s="17" t="e">
        <f t="shared" si="0"/>
        <v>#REF!</v>
      </c>
      <c r="P460" s="10" t="s">
        <v>100</v>
      </c>
    </row>
    <row r="461" spans="1:16" ht="30" x14ac:dyDescent="0.25">
      <c r="A461" s="10" t="s">
        <v>16</v>
      </c>
      <c r="B461" s="10" t="s">
        <v>15</v>
      </c>
      <c r="C461" s="10" t="s">
        <v>14</v>
      </c>
      <c r="D461" s="15">
        <v>25</v>
      </c>
      <c r="E461" s="10" t="s">
        <v>90</v>
      </c>
      <c r="F461" s="10" t="s">
        <v>91</v>
      </c>
      <c r="G461" s="4" t="s">
        <v>96</v>
      </c>
      <c r="H461" s="6" t="s">
        <v>12</v>
      </c>
      <c r="I461" s="1">
        <v>1</v>
      </c>
      <c r="J461" s="1">
        <v>4</v>
      </c>
      <c r="K461" s="16" t="e">
        <f>#REF!*#REF!</f>
        <v>#REF!</v>
      </c>
      <c r="L461" s="6" t="s">
        <v>94</v>
      </c>
      <c r="M461" s="1">
        <v>0.5</v>
      </c>
      <c r="N461" s="2" t="e">
        <f>#REF!*#REF!</f>
        <v>#REF!</v>
      </c>
      <c r="O461" s="17" t="e">
        <f t="shared" si="0"/>
        <v>#REF!</v>
      </c>
      <c r="P461" s="10" t="s">
        <v>95</v>
      </c>
    </row>
    <row r="462" spans="1:16" ht="60" x14ac:dyDescent="0.25">
      <c r="A462" s="10" t="s">
        <v>16</v>
      </c>
      <c r="B462" s="10" t="s">
        <v>15</v>
      </c>
      <c r="C462" s="10" t="s">
        <v>14</v>
      </c>
      <c r="D462" s="15">
        <v>25</v>
      </c>
      <c r="E462" s="10" t="s">
        <v>90</v>
      </c>
      <c r="F462" s="10" t="s">
        <v>89</v>
      </c>
      <c r="G462" s="4" t="s">
        <v>88</v>
      </c>
      <c r="H462" s="6" t="s">
        <v>12</v>
      </c>
      <c r="I462" s="1">
        <v>1</v>
      </c>
      <c r="J462" s="1">
        <v>4</v>
      </c>
      <c r="K462" s="16" t="e">
        <f>#REF!*#REF!</f>
        <v>#REF!</v>
      </c>
      <c r="L462" s="6" t="s">
        <v>93</v>
      </c>
      <c r="M462" s="1">
        <v>0.5</v>
      </c>
      <c r="N462" s="2" t="e">
        <f>#REF!*#REF!</f>
        <v>#REF!</v>
      </c>
      <c r="O462" s="17" t="e">
        <f t="shared" si="0"/>
        <v>#REF!</v>
      </c>
      <c r="P462" s="10" t="s">
        <v>92</v>
      </c>
    </row>
    <row r="463" spans="1:16" ht="75" x14ac:dyDescent="0.25">
      <c r="A463" s="10" t="s">
        <v>16</v>
      </c>
      <c r="B463" s="10" t="s">
        <v>15</v>
      </c>
      <c r="C463" s="10" t="s">
        <v>14</v>
      </c>
      <c r="D463" s="15">
        <v>26</v>
      </c>
      <c r="E463" s="10" t="s">
        <v>81</v>
      </c>
      <c r="F463" s="10" t="s">
        <v>85</v>
      </c>
      <c r="G463" s="4" t="s">
        <v>84</v>
      </c>
      <c r="H463" s="6" t="s">
        <v>12</v>
      </c>
      <c r="I463" s="1">
        <v>3</v>
      </c>
      <c r="J463" s="1">
        <v>3</v>
      </c>
      <c r="K463" s="16" t="e">
        <f>#REF!*#REF!</f>
        <v>#REF!</v>
      </c>
      <c r="L463" s="6" t="s">
        <v>83</v>
      </c>
      <c r="M463" s="1">
        <v>0.75</v>
      </c>
      <c r="N463" s="2" t="e">
        <f>#REF!*#REF!</f>
        <v>#REF!</v>
      </c>
      <c r="O463" s="17" t="e">
        <f t="shared" si="0"/>
        <v>#REF!</v>
      </c>
      <c r="P463" s="10" t="s">
        <v>292</v>
      </c>
    </row>
    <row r="464" spans="1:16" ht="75" x14ac:dyDescent="0.25">
      <c r="A464" s="10" t="s">
        <v>16</v>
      </c>
      <c r="B464" s="10" t="s">
        <v>15</v>
      </c>
      <c r="C464" s="10" t="s">
        <v>14</v>
      </c>
      <c r="D464" s="15">
        <v>26</v>
      </c>
      <c r="E464" s="10" t="s">
        <v>81</v>
      </c>
      <c r="F464" s="10" t="s">
        <v>80</v>
      </c>
      <c r="G464" s="4" t="s">
        <v>79</v>
      </c>
      <c r="H464" s="6" t="s">
        <v>12</v>
      </c>
      <c r="I464" s="1">
        <v>2</v>
      </c>
      <c r="J464" s="1">
        <v>2</v>
      </c>
      <c r="K464" s="16" t="e">
        <f>#REF!*#REF!</f>
        <v>#REF!</v>
      </c>
      <c r="L464" s="6" t="s">
        <v>86</v>
      </c>
      <c r="M464" s="1">
        <v>0.5</v>
      </c>
      <c r="N464" s="2" t="e">
        <f>#REF!*#REF!</f>
        <v>#REF!</v>
      </c>
      <c r="O464" s="17" t="e">
        <f t="shared" si="0"/>
        <v>#REF!</v>
      </c>
      <c r="P464" s="10" t="s">
        <v>87</v>
      </c>
    </row>
    <row r="465" spans="1:20" ht="75" x14ac:dyDescent="0.25">
      <c r="A465" s="10" t="s">
        <v>16</v>
      </c>
      <c r="B465" s="10" t="s">
        <v>15</v>
      </c>
      <c r="C465" s="10" t="s">
        <v>14</v>
      </c>
      <c r="D465" s="15">
        <v>27</v>
      </c>
      <c r="E465" s="10" t="s">
        <v>76</v>
      </c>
      <c r="F465" s="10" t="s">
        <v>75</v>
      </c>
      <c r="G465" s="4" t="s">
        <v>74</v>
      </c>
      <c r="H465" s="6" t="s">
        <v>12</v>
      </c>
      <c r="I465" s="1">
        <v>2</v>
      </c>
      <c r="J465" s="1">
        <v>3</v>
      </c>
      <c r="K465" s="16" t="e">
        <f>#REF!*#REF!</f>
        <v>#REF!</v>
      </c>
      <c r="L465" s="6" t="s">
        <v>77</v>
      </c>
      <c r="M465" s="1">
        <v>0.75</v>
      </c>
      <c r="N465" s="2" t="e">
        <f>#REF!*#REF!</f>
        <v>#REF!</v>
      </c>
      <c r="O465" s="17" t="e">
        <f t="shared" si="0"/>
        <v>#REF!</v>
      </c>
      <c r="P465" s="10" t="s">
        <v>78</v>
      </c>
    </row>
    <row r="466" spans="1:20" ht="315" x14ac:dyDescent="0.25">
      <c r="A466" s="10" t="s">
        <v>16</v>
      </c>
      <c r="B466" s="10" t="s">
        <v>15</v>
      </c>
      <c r="C466" s="10" t="s">
        <v>14</v>
      </c>
      <c r="D466" s="15">
        <v>28</v>
      </c>
      <c r="E466" s="10" t="s">
        <v>826</v>
      </c>
      <c r="F466" s="10" t="s">
        <v>827</v>
      </c>
      <c r="G466" s="4" t="s">
        <v>13</v>
      </c>
      <c r="H466" s="6" t="s">
        <v>12</v>
      </c>
      <c r="I466" s="1">
        <v>3</v>
      </c>
      <c r="J466" s="1">
        <v>3</v>
      </c>
      <c r="K466" s="16" t="e">
        <f>#REF!*#REF!</f>
        <v>#REF!</v>
      </c>
      <c r="L466" s="6" t="s">
        <v>849</v>
      </c>
      <c r="M466" s="1">
        <v>0.75</v>
      </c>
      <c r="N466" s="2" t="e">
        <f>#REF!*#REF!</f>
        <v>#REF!</v>
      </c>
      <c r="O466" s="17" t="e">
        <f t="shared" si="0"/>
        <v>#REF!</v>
      </c>
      <c r="P466" s="10" t="s">
        <v>293</v>
      </c>
    </row>
    <row r="467" spans="1:20" ht="165" x14ac:dyDescent="0.25">
      <c r="A467" s="10" t="s">
        <v>16</v>
      </c>
      <c r="B467" s="10" t="s">
        <v>15</v>
      </c>
      <c r="C467" s="10" t="s">
        <v>14</v>
      </c>
      <c r="D467" s="15">
        <v>28</v>
      </c>
      <c r="E467" s="10" t="s">
        <v>826</v>
      </c>
      <c r="F467" s="10" t="s">
        <v>827</v>
      </c>
      <c r="G467" s="4" t="s">
        <v>13</v>
      </c>
      <c r="H467" s="6" t="s">
        <v>12</v>
      </c>
      <c r="I467" s="1">
        <v>4</v>
      </c>
      <c r="J467" s="1">
        <v>2</v>
      </c>
      <c r="K467" s="16" t="e">
        <f>#REF!*#REF!</f>
        <v>#REF!</v>
      </c>
      <c r="L467" s="6" t="s">
        <v>62</v>
      </c>
      <c r="M467" s="1">
        <v>0.75</v>
      </c>
      <c r="N467" s="2" t="e">
        <f>#REF!*#REF!</f>
        <v>#REF!</v>
      </c>
      <c r="O467" s="17" t="e">
        <f t="shared" si="0"/>
        <v>#REF!</v>
      </c>
      <c r="P467" s="10" t="s">
        <v>73</v>
      </c>
    </row>
    <row r="468" spans="1:20" ht="105" x14ac:dyDescent="0.25">
      <c r="A468" s="10" t="s">
        <v>16</v>
      </c>
      <c r="B468" s="10" t="s">
        <v>15</v>
      </c>
      <c r="C468" s="10" t="s">
        <v>14</v>
      </c>
      <c r="D468" s="15">
        <v>29</v>
      </c>
      <c r="E468" s="10" t="s">
        <v>68</v>
      </c>
      <c r="F468" s="10" t="s">
        <v>70</v>
      </c>
      <c r="G468" s="4" t="s">
        <v>69</v>
      </c>
      <c r="H468" s="6" t="s">
        <v>12</v>
      </c>
      <c r="I468" s="1">
        <v>1</v>
      </c>
      <c r="J468" s="1">
        <v>3</v>
      </c>
      <c r="K468" s="16" t="e">
        <f>#REF!*#REF!</f>
        <v>#REF!</v>
      </c>
      <c r="L468" s="6" t="s">
        <v>72</v>
      </c>
      <c r="M468" s="1">
        <v>0.75</v>
      </c>
      <c r="N468" s="2" t="e">
        <f>#REF!*#REF!</f>
        <v>#REF!</v>
      </c>
      <c r="O468" s="17" t="e">
        <f t="shared" si="0"/>
        <v>#REF!</v>
      </c>
      <c r="P468" s="10" t="s">
        <v>71</v>
      </c>
    </row>
    <row r="469" spans="1:20" ht="150" x14ac:dyDescent="0.25">
      <c r="A469" s="10" t="s">
        <v>16</v>
      </c>
      <c r="B469" s="10" t="s">
        <v>15</v>
      </c>
      <c r="C469" s="10" t="s">
        <v>14</v>
      </c>
      <c r="D469" s="15">
        <v>30</v>
      </c>
      <c r="E469" s="10" t="s">
        <v>60</v>
      </c>
      <c r="F469" s="10" t="s">
        <v>59</v>
      </c>
      <c r="G469" s="4" t="s">
        <v>58</v>
      </c>
      <c r="H469" s="6" t="s">
        <v>12</v>
      </c>
      <c r="I469" s="1">
        <v>4</v>
      </c>
      <c r="J469" s="1">
        <v>3</v>
      </c>
      <c r="K469" s="16" t="e">
        <f>#REF!*#REF!</f>
        <v>#REF!</v>
      </c>
      <c r="L469" s="6" t="s">
        <v>61</v>
      </c>
      <c r="M469" s="1">
        <v>0.5</v>
      </c>
      <c r="N469" s="2" t="e">
        <f>#REF!*#REF!</f>
        <v>#REF!</v>
      </c>
      <c r="O469" s="17" t="e">
        <f t="shared" si="0"/>
        <v>#REF!</v>
      </c>
      <c r="P469" s="10" t="s">
        <v>300</v>
      </c>
    </row>
    <row r="470" spans="1:20" ht="150" x14ac:dyDescent="0.25">
      <c r="A470" s="10" t="s">
        <v>16</v>
      </c>
      <c r="B470" s="10" t="s">
        <v>15</v>
      </c>
      <c r="C470" s="10" t="s">
        <v>14</v>
      </c>
      <c r="D470" s="15">
        <v>31</v>
      </c>
      <c r="E470" s="10" t="s">
        <v>52</v>
      </c>
      <c r="F470" s="10" t="s">
        <v>51</v>
      </c>
      <c r="G470" s="4" t="s">
        <v>53</v>
      </c>
      <c r="H470" s="6" t="s">
        <v>12</v>
      </c>
      <c r="I470" s="1">
        <v>3</v>
      </c>
      <c r="J470" s="1">
        <v>4</v>
      </c>
      <c r="K470" s="16" t="e">
        <f>#REF!*#REF!</f>
        <v>#REF!</v>
      </c>
      <c r="L470" s="6" t="s">
        <v>275</v>
      </c>
      <c r="M470" s="1">
        <v>0.75</v>
      </c>
      <c r="N470" s="2" t="e">
        <f>#REF!*#REF!</f>
        <v>#REF!</v>
      </c>
      <c r="O470" s="17" t="e">
        <f t="shared" si="0"/>
        <v>#REF!</v>
      </c>
      <c r="P470" s="10" t="s">
        <v>847</v>
      </c>
    </row>
    <row r="471" spans="1:20" ht="120" x14ac:dyDescent="0.25">
      <c r="A471" s="10" t="s">
        <v>16</v>
      </c>
      <c r="B471" s="10" t="s">
        <v>15</v>
      </c>
      <c r="C471" s="10" t="s">
        <v>14</v>
      </c>
      <c r="D471" s="15">
        <v>32</v>
      </c>
      <c r="E471" s="10" t="s">
        <v>65</v>
      </c>
      <c r="F471" s="10" t="s">
        <v>64</v>
      </c>
      <c r="G471" s="4" t="s">
        <v>63</v>
      </c>
      <c r="H471" s="6" t="s">
        <v>12</v>
      </c>
      <c r="I471" s="1">
        <v>2</v>
      </c>
      <c r="J471" s="1">
        <v>2</v>
      </c>
      <c r="K471" s="16" t="e">
        <f>#REF!*#REF!</f>
        <v>#REF!</v>
      </c>
      <c r="L471" s="6" t="s">
        <v>67</v>
      </c>
      <c r="M471" s="1">
        <v>0.75</v>
      </c>
      <c r="N471" s="2" t="e">
        <f>#REF!*#REF!</f>
        <v>#REF!</v>
      </c>
      <c r="O471" s="17" t="e">
        <f t="shared" si="0"/>
        <v>#REF!</v>
      </c>
      <c r="P471" s="10" t="s">
        <v>66</v>
      </c>
    </row>
    <row r="472" spans="1:20" ht="165" x14ac:dyDescent="0.25">
      <c r="A472" s="10" t="s">
        <v>16</v>
      </c>
      <c r="B472" s="10" t="s">
        <v>15</v>
      </c>
      <c r="C472" s="10" t="s">
        <v>14</v>
      </c>
      <c r="D472" s="15">
        <v>33</v>
      </c>
      <c r="E472" s="10" t="s">
        <v>3</v>
      </c>
      <c r="F472" s="10" t="s">
        <v>4</v>
      </c>
      <c r="G472" s="4" t="s">
        <v>32</v>
      </c>
      <c r="H472" s="6" t="s">
        <v>12</v>
      </c>
      <c r="I472" s="1">
        <v>2</v>
      </c>
      <c r="J472" s="1">
        <v>3</v>
      </c>
      <c r="K472" s="16" t="e">
        <f>#REF!*#REF!</f>
        <v>#REF!</v>
      </c>
      <c r="L472" s="6" t="s">
        <v>31</v>
      </c>
      <c r="M472" s="1">
        <v>0.75</v>
      </c>
      <c r="N472" s="2" t="e">
        <f>#REF!*#REF!</f>
        <v>#REF!</v>
      </c>
      <c r="O472" s="17" t="e">
        <f t="shared" si="0"/>
        <v>#REF!</v>
      </c>
      <c r="P472" s="10" t="s">
        <v>822</v>
      </c>
    </row>
    <row r="473" spans="1:20" ht="105" x14ac:dyDescent="0.25">
      <c r="A473" s="10" t="s">
        <v>16</v>
      </c>
      <c r="B473" s="10" t="s">
        <v>15</v>
      </c>
      <c r="C473" s="10" t="s">
        <v>14</v>
      </c>
      <c r="D473" s="15">
        <v>33</v>
      </c>
      <c r="E473" s="10" t="s">
        <v>3</v>
      </c>
      <c r="F473" s="10" t="s">
        <v>2</v>
      </c>
      <c r="G473" s="4" t="s">
        <v>1</v>
      </c>
      <c r="H473" s="6" t="s">
        <v>10</v>
      </c>
      <c r="I473" s="1">
        <v>1</v>
      </c>
      <c r="J473" s="1">
        <v>4</v>
      </c>
      <c r="K473" s="16" t="e">
        <f>#REF!*#REF!</f>
        <v>#REF!</v>
      </c>
      <c r="L473" s="6" t="s">
        <v>0</v>
      </c>
      <c r="M473" s="1">
        <v>1</v>
      </c>
      <c r="N473" s="2" t="e">
        <f>#REF!*#REF!</f>
        <v>#REF!</v>
      </c>
      <c r="O473" s="17" t="e">
        <f t="shared" si="0"/>
        <v>#REF!</v>
      </c>
      <c r="P473" s="10" t="s">
        <v>823</v>
      </c>
    </row>
    <row r="474" spans="1:20" ht="45" x14ac:dyDescent="0.25">
      <c r="A474" s="10" t="s">
        <v>16</v>
      </c>
      <c r="B474" s="10" t="s">
        <v>15</v>
      </c>
      <c r="C474" s="10" t="s">
        <v>14</v>
      </c>
      <c r="D474" s="15">
        <v>34</v>
      </c>
      <c r="E474" s="10" t="s">
        <v>57</v>
      </c>
      <c r="F474" s="10" t="s">
        <v>56</v>
      </c>
      <c r="G474" s="4" t="s">
        <v>55</v>
      </c>
      <c r="H474" s="6" t="s">
        <v>12</v>
      </c>
      <c r="I474" s="1">
        <v>1</v>
      </c>
      <c r="J474" s="1">
        <v>2</v>
      </c>
      <c r="K474" s="16" t="e">
        <f>#REF!*#REF!</f>
        <v>#REF!</v>
      </c>
      <c r="L474" s="6" t="s">
        <v>54</v>
      </c>
      <c r="M474" s="1">
        <v>0.75</v>
      </c>
      <c r="N474" s="2" t="e">
        <f>#REF!*#REF!</f>
        <v>#REF!</v>
      </c>
      <c r="O474" s="17" t="e">
        <f t="shared" si="0"/>
        <v>#REF!</v>
      </c>
      <c r="P474" s="10"/>
    </row>
    <row r="475" spans="1:20" ht="90" x14ac:dyDescent="0.25">
      <c r="A475" s="10" t="s">
        <v>16</v>
      </c>
      <c r="B475" s="10" t="s">
        <v>15</v>
      </c>
      <c r="C475" s="10" t="s">
        <v>14</v>
      </c>
      <c r="D475" s="15">
        <v>35</v>
      </c>
      <c r="E475" s="10" t="s">
        <v>49</v>
      </c>
      <c r="F475" s="10" t="s">
        <v>48</v>
      </c>
      <c r="G475" s="4" t="s">
        <v>47</v>
      </c>
      <c r="H475" s="6" t="s">
        <v>12</v>
      </c>
      <c r="I475" s="1">
        <v>1</v>
      </c>
      <c r="J475" s="1">
        <v>3</v>
      </c>
      <c r="K475" s="16" t="e">
        <f>#REF!*#REF!</f>
        <v>#REF!</v>
      </c>
      <c r="L475" s="6" t="s">
        <v>46</v>
      </c>
      <c r="M475" s="1">
        <v>0.75</v>
      </c>
      <c r="N475" s="2" t="e">
        <f>#REF!*#REF!</f>
        <v>#REF!</v>
      </c>
      <c r="O475" s="17" t="e">
        <f t="shared" si="0"/>
        <v>#REF!</v>
      </c>
      <c r="P475" s="10" t="s">
        <v>45</v>
      </c>
    </row>
    <row r="476" spans="1:20" ht="105" x14ac:dyDescent="0.25">
      <c r="A476" s="10" t="s">
        <v>16</v>
      </c>
      <c r="B476" s="10" t="s">
        <v>15</v>
      </c>
      <c r="C476" s="10" t="s">
        <v>14</v>
      </c>
      <c r="D476" s="15">
        <v>36</v>
      </c>
      <c r="E476" s="10" t="s">
        <v>43</v>
      </c>
      <c r="F476" s="10" t="s">
        <v>42</v>
      </c>
      <c r="G476" s="4" t="s">
        <v>41</v>
      </c>
      <c r="H476" s="6" t="s">
        <v>12</v>
      </c>
      <c r="I476" s="1">
        <v>2</v>
      </c>
      <c r="J476" s="1">
        <v>4</v>
      </c>
      <c r="K476" s="16" t="e">
        <f>#REF!*#REF!</f>
        <v>#REF!</v>
      </c>
      <c r="L476" s="6" t="s">
        <v>44</v>
      </c>
      <c r="M476" s="1">
        <v>0.75</v>
      </c>
      <c r="N476" s="2" t="e">
        <f>#REF!*#REF!</f>
        <v>#REF!</v>
      </c>
      <c r="O476" s="17" t="e">
        <f t="shared" ref="O476:O480" si="1">IF(AND(N476&gt;=0,N476&lt;4),"P3",IF(AND(N476&gt;=4,N476&lt;=8),"P2",IF(N476&gt;8,"P1","")))</f>
        <v>#REF!</v>
      </c>
      <c r="P476" s="10" t="s">
        <v>851</v>
      </c>
    </row>
    <row r="477" spans="1:20" ht="30" x14ac:dyDescent="0.25">
      <c r="A477" s="10" t="s">
        <v>16</v>
      </c>
      <c r="B477" s="10" t="s">
        <v>15</v>
      </c>
      <c r="C477" s="10" t="s">
        <v>14</v>
      </c>
      <c r="D477" s="15">
        <v>37</v>
      </c>
      <c r="E477" s="10" t="s">
        <v>37</v>
      </c>
      <c r="F477" s="10" t="s">
        <v>40</v>
      </c>
      <c r="G477" s="33" t="s">
        <v>39</v>
      </c>
      <c r="H477" s="35" t="s">
        <v>12</v>
      </c>
      <c r="I477" s="37">
        <v>1</v>
      </c>
      <c r="J477" s="37">
        <v>2</v>
      </c>
      <c r="K477" s="47" t="e">
        <f>#REF!*#REF!</f>
        <v>#REF!</v>
      </c>
      <c r="L477" s="35" t="s">
        <v>26</v>
      </c>
      <c r="M477" s="37">
        <v>0.5</v>
      </c>
      <c r="N477" s="48" t="e">
        <f>#REF!*#REF!</f>
        <v>#REF!</v>
      </c>
      <c r="O477" s="17" t="e">
        <f t="shared" si="1"/>
        <v>#REF!</v>
      </c>
      <c r="P477" s="10" t="s">
        <v>38</v>
      </c>
    </row>
    <row r="478" spans="1:20" ht="240" x14ac:dyDescent="0.25">
      <c r="A478" s="10" t="s">
        <v>16</v>
      </c>
      <c r="B478" s="10" t="s">
        <v>15</v>
      </c>
      <c r="C478" s="10" t="s">
        <v>14</v>
      </c>
      <c r="D478" s="15">
        <v>38</v>
      </c>
      <c r="E478" s="10" t="s">
        <v>36</v>
      </c>
      <c r="F478" s="10" t="s">
        <v>35</v>
      </c>
      <c r="G478" s="4" t="s">
        <v>34</v>
      </c>
      <c r="H478" s="6" t="s">
        <v>12</v>
      </c>
      <c r="I478" s="1">
        <v>3</v>
      </c>
      <c r="J478" s="1">
        <v>4</v>
      </c>
      <c r="K478" s="16" t="e">
        <f>#REF!*#REF!</f>
        <v>#REF!</v>
      </c>
      <c r="L478" s="6" t="s">
        <v>282</v>
      </c>
      <c r="M478" s="1">
        <v>0.75</v>
      </c>
      <c r="N478" s="2" t="e">
        <f>#REF!*#REF!</f>
        <v>#REF!</v>
      </c>
      <c r="O478" s="17" t="e">
        <f t="shared" si="1"/>
        <v>#REF!</v>
      </c>
      <c r="P478" s="10" t="s">
        <v>287</v>
      </c>
    </row>
    <row r="479" spans="1:20" ht="120" x14ac:dyDescent="0.25">
      <c r="A479" s="10" t="s">
        <v>16</v>
      </c>
      <c r="B479" s="10" t="s">
        <v>15</v>
      </c>
      <c r="C479" s="10" t="s">
        <v>14</v>
      </c>
      <c r="D479" s="15">
        <v>39</v>
      </c>
      <c r="E479" s="10" t="s">
        <v>9</v>
      </c>
      <c r="F479" s="10" t="s">
        <v>8</v>
      </c>
      <c r="G479" s="4" t="s">
        <v>7</v>
      </c>
      <c r="H479" s="6" t="s">
        <v>12</v>
      </c>
      <c r="I479" s="1">
        <v>1</v>
      </c>
      <c r="J479" s="1">
        <v>4</v>
      </c>
      <c r="K479" s="16" t="e">
        <f>#REF!*#REF!</f>
        <v>#REF!</v>
      </c>
      <c r="L479" s="6" t="s">
        <v>6</v>
      </c>
      <c r="M479" s="1">
        <v>1</v>
      </c>
      <c r="N479" s="2" t="e">
        <f>#REF!*#REF!</f>
        <v>#REF!</v>
      </c>
      <c r="O479" s="17" t="e">
        <f t="shared" si="1"/>
        <v>#REF!</v>
      </c>
      <c r="P479" s="10" t="s">
        <v>5</v>
      </c>
    </row>
    <row r="480" spans="1:20" ht="120" x14ac:dyDescent="0.25">
      <c r="A480" s="29" t="s">
        <v>16</v>
      </c>
      <c r="B480" s="29" t="s">
        <v>15</v>
      </c>
      <c r="C480" s="29" t="s">
        <v>14</v>
      </c>
      <c r="D480" s="30">
        <v>40</v>
      </c>
      <c r="E480" s="29" t="s">
        <v>111</v>
      </c>
      <c r="F480" s="29" t="s">
        <v>110</v>
      </c>
      <c r="G480" s="49" t="s">
        <v>109</v>
      </c>
      <c r="H480" s="50" t="s">
        <v>12</v>
      </c>
      <c r="I480" s="51">
        <v>3</v>
      </c>
      <c r="J480" s="51">
        <v>4</v>
      </c>
      <c r="K480" s="56" t="e">
        <f>#REF!*#REF!</f>
        <v>#REF!</v>
      </c>
      <c r="L480" s="50" t="s">
        <v>112</v>
      </c>
      <c r="M480" s="51">
        <v>0.75</v>
      </c>
      <c r="N480" s="57" t="e">
        <f>#REF!*#REF!</f>
        <v>#REF!</v>
      </c>
      <c r="O480" s="58" t="e">
        <f t="shared" si="1"/>
        <v>#REF!</v>
      </c>
      <c r="P480" s="29" t="s">
        <v>848</v>
      </c>
      <c r="Q480" s="37"/>
      <c r="R480" s="37"/>
      <c r="S480" s="37"/>
      <c r="T480" s="37"/>
    </row>
  </sheetData>
  <conditionalFormatting sqref="O1:P2 O481:P1048576 O278:O411 O272:P277 O3:O271">
    <cfRule type="containsText" dxfId="61" priority="138" operator="containsText" text="P1">
      <formula>NOT(ISERROR(SEARCH("P1",O1)))</formula>
    </cfRule>
    <cfRule type="containsText" dxfId="60" priority="139" operator="containsText" text="P2">
      <formula>NOT(ISERROR(SEARCH("P2",O1)))</formula>
    </cfRule>
    <cfRule type="containsText" dxfId="59" priority="140" operator="containsText" text="P3">
      <formula>NOT(ISERROR(SEARCH("P3",O1)))</formula>
    </cfRule>
  </conditionalFormatting>
  <conditionalFormatting sqref="O3:O480">
    <cfRule type="containsText" dxfId="58" priority="133" operator="containsText" text="P3">
      <formula>NOT(ISERROR(SEARCH("P3",O3)))</formula>
    </cfRule>
    <cfRule type="containsText" dxfId="57" priority="134" operator="containsText" text="P1">
      <formula>NOT(ISERROR(SEARCH("P1",O3)))</formula>
    </cfRule>
    <cfRule type="containsText" dxfId="56" priority="135" operator="containsText" text="P3">
      <formula>NOT(ISERROR(SEARCH("P3",O3)))</formula>
    </cfRule>
    <cfRule type="containsText" dxfId="55" priority="136" operator="containsText" text="P2">
      <formula>NOT(ISERROR(SEARCH("P2",O3)))</formula>
    </cfRule>
    <cfRule type="containsText" dxfId="54" priority="137" operator="containsText" text="P1">
      <formula>NOT(ISERROR(SEARCH("P1",O3)))</formula>
    </cfRule>
  </conditionalFormatting>
  <conditionalFormatting sqref="O211:O243">
    <cfRule type="containsText" dxfId="53" priority="130" operator="containsText" text="P1">
      <formula>NOT(ISERROR(SEARCH("P1",O211)))</formula>
    </cfRule>
    <cfRule type="containsText" dxfId="52" priority="131" operator="containsText" text="P2">
      <formula>NOT(ISERROR(SEARCH("P2",O211)))</formula>
    </cfRule>
    <cfRule type="containsText" dxfId="51" priority="132" operator="containsText" text="P3">
      <formula>NOT(ISERROR(SEARCH("P3",O211)))</formula>
    </cfRule>
  </conditionalFormatting>
  <conditionalFormatting sqref="O211:O243">
    <cfRule type="containsText" dxfId="50" priority="125" operator="containsText" text="P3">
      <formula>NOT(ISERROR(SEARCH("P3",O211)))</formula>
    </cfRule>
    <cfRule type="containsText" dxfId="49" priority="126" operator="containsText" text="P1">
      <formula>NOT(ISERROR(SEARCH("P1",O211)))</formula>
    </cfRule>
    <cfRule type="containsText" dxfId="48" priority="127" operator="containsText" text="P3">
      <formula>NOT(ISERROR(SEARCH("P3",O211)))</formula>
    </cfRule>
    <cfRule type="containsText" dxfId="47" priority="128" operator="containsText" text="P2">
      <formula>NOT(ISERROR(SEARCH("P2",O211)))</formula>
    </cfRule>
    <cfRule type="containsText" dxfId="46" priority="129" operator="containsText" text="P1">
      <formula>NOT(ISERROR(SEARCH("P1",O211)))</formula>
    </cfRule>
  </conditionalFormatting>
  <conditionalFormatting sqref="O110">
    <cfRule type="containsText" dxfId="45" priority="114" operator="containsText" text="P1">
      <formula>NOT(ISERROR(SEARCH("P1",O110)))</formula>
    </cfRule>
    <cfRule type="containsText" dxfId="44" priority="115" operator="containsText" text="P2">
      <formula>NOT(ISERROR(SEARCH("P2",O110)))</formula>
    </cfRule>
    <cfRule type="containsText" dxfId="43" priority="116" operator="containsText" text="P3">
      <formula>NOT(ISERROR(SEARCH("P3",O110)))</formula>
    </cfRule>
  </conditionalFormatting>
  <conditionalFormatting sqref="O110">
    <cfRule type="containsText" dxfId="42" priority="109" operator="containsText" text="P3">
      <formula>NOT(ISERROR(SEARCH("P3",O110)))</formula>
    </cfRule>
    <cfRule type="containsText" dxfId="41" priority="110" operator="containsText" text="P1">
      <formula>NOT(ISERROR(SEARCH("P1",O110)))</formula>
    </cfRule>
    <cfRule type="containsText" dxfId="40" priority="111" operator="containsText" text="P3">
      <formula>NOT(ISERROR(SEARCH("P3",O110)))</formula>
    </cfRule>
    <cfRule type="containsText" dxfId="39" priority="112" operator="containsText" text="P2">
      <formula>NOT(ISERROR(SEARCH("P2",O110)))</formula>
    </cfRule>
    <cfRule type="containsText" dxfId="38" priority="113" operator="containsText" text="P1">
      <formula>NOT(ISERROR(SEARCH("P1",O110)))</formula>
    </cfRule>
  </conditionalFormatting>
  <conditionalFormatting sqref="O177:O243">
    <cfRule type="containsText" dxfId="37" priority="106" operator="containsText" text="P1">
      <formula>NOT(ISERROR(SEARCH("P1",O177)))</formula>
    </cfRule>
    <cfRule type="containsText" dxfId="36" priority="107" operator="containsText" text="P2">
      <formula>NOT(ISERROR(SEARCH("P2",O177)))</formula>
    </cfRule>
    <cfRule type="containsText" dxfId="35" priority="108" operator="containsText" text="P3">
      <formula>NOT(ISERROR(SEARCH("P3",O177)))</formula>
    </cfRule>
  </conditionalFormatting>
  <conditionalFormatting sqref="O177:O243">
    <cfRule type="containsText" dxfId="34" priority="101" operator="containsText" text="P3">
      <formula>NOT(ISERROR(SEARCH("P3",O177)))</formula>
    </cfRule>
    <cfRule type="containsText" dxfId="33" priority="102" operator="containsText" text="P1">
      <formula>NOT(ISERROR(SEARCH("P1",O177)))</formula>
    </cfRule>
    <cfRule type="containsText" dxfId="32" priority="103" operator="containsText" text="P3">
      <formula>NOT(ISERROR(SEARCH("P3",O177)))</formula>
    </cfRule>
    <cfRule type="containsText" dxfId="31" priority="104" operator="containsText" text="P2">
      <formula>NOT(ISERROR(SEARCH("P2",O177)))</formula>
    </cfRule>
    <cfRule type="containsText" dxfId="30" priority="105" operator="containsText" text="P1">
      <formula>NOT(ISERROR(SEARCH("P1",O177)))</formula>
    </cfRule>
  </conditionalFormatting>
  <conditionalFormatting sqref="O238:O243">
    <cfRule type="containsText" dxfId="29" priority="98" operator="containsText" text="P1">
      <formula>NOT(ISERROR(SEARCH("P1",O238)))</formula>
    </cfRule>
    <cfRule type="containsText" dxfId="28" priority="99" operator="containsText" text="P2">
      <formula>NOT(ISERROR(SEARCH("P2",O238)))</formula>
    </cfRule>
    <cfRule type="containsText" dxfId="27" priority="100" operator="containsText" text="P3">
      <formula>NOT(ISERROR(SEARCH("P3",O238)))</formula>
    </cfRule>
  </conditionalFormatting>
  <conditionalFormatting sqref="O238:O243">
    <cfRule type="containsText" dxfId="26" priority="93" operator="containsText" text="P3">
      <formula>NOT(ISERROR(SEARCH("P3",O238)))</formula>
    </cfRule>
    <cfRule type="containsText" dxfId="25" priority="94" operator="containsText" text="P1">
      <formula>NOT(ISERROR(SEARCH("P1",O238)))</formula>
    </cfRule>
    <cfRule type="containsText" dxfId="24" priority="95" operator="containsText" text="P3">
      <formula>NOT(ISERROR(SEARCH("P3",O238)))</formula>
    </cfRule>
    <cfRule type="containsText" dxfId="23" priority="96" operator="containsText" text="P2">
      <formula>NOT(ISERROR(SEARCH("P2",O238)))</formula>
    </cfRule>
    <cfRule type="containsText" dxfId="22" priority="97" operator="containsText" text="P1">
      <formula>NOT(ISERROR(SEARCH("P1",O238)))</formula>
    </cfRule>
  </conditionalFormatting>
  <conditionalFormatting sqref="O239:O243">
    <cfRule type="containsText" dxfId="21" priority="90" operator="containsText" text="P1">
      <formula>NOT(ISERROR(SEARCH("P1",O239)))</formula>
    </cfRule>
    <cfRule type="containsText" dxfId="20" priority="91" operator="containsText" text="P2">
      <formula>NOT(ISERROR(SEARCH("P2",O239)))</formula>
    </cfRule>
    <cfRule type="containsText" dxfId="19" priority="92" operator="containsText" text="P3">
      <formula>NOT(ISERROR(SEARCH("P3",O239)))</formula>
    </cfRule>
  </conditionalFormatting>
  <conditionalFormatting sqref="O239:O243">
    <cfRule type="containsText" dxfId="18" priority="85" operator="containsText" text="P3">
      <formula>NOT(ISERROR(SEARCH("P3",O239)))</formula>
    </cfRule>
    <cfRule type="containsText" dxfId="17" priority="86" operator="containsText" text="P1">
      <formula>NOT(ISERROR(SEARCH("P1",O239)))</formula>
    </cfRule>
    <cfRule type="containsText" dxfId="16" priority="87" operator="containsText" text="P3">
      <formula>NOT(ISERROR(SEARCH("P3",O239)))</formula>
    </cfRule>
    <cfRule type="containsText" dxfId="15" priority="88" operator="containsText" text="P2">
      <formula>NOT(ISERROR(SEARCH("P2",O239)))</formula>
    </cfRule>
    <cfRule type="containsText" dxfId="14" priority="89" operator="containsText" text="P1">
      <formula>NOT(ISERROR(SEARCH("P1",O239)))</formula>
    </cfRule>
  </conditionalFormatting>
  <conditionalFormatting sqref="O1:O411 O481:O1048576">
    <cfRule type="cellIs" dxfId="13" priority="42" operator="equal">
      <formula>"P2"</formula>
    </cfRule>
    <cfRule type="cellIs" dxfId="12" priority="43" operator="equal">
      <formula>"P1"</formula>
    </cfRule>
    <cfRule type="cellIs" dxfId="11" priority="44" operator="equal">
      <formula>"P3"</formula>
    </cfRule>
  </conditionalFormatting>
  <conditionalFormatting sqref="O412:O480">
    <cfRule type="containsText" dxfId="10" priority="9" operator="containsText" text="P1">
      <formula>NOT(ISERROR(SEARCH("P1",O412)))</formula>
    </cfRule>
    <cfRule type="containsText" dxfId="9" priority="10" operator="containsText" text="P2">
      <formula>NOT(ISERROR(SEARCH("P2",O412)))</formula>
    </cfRule>
    <cfRule type="containsText" dxfId="8" priority="11" operator="containsText" text="P3">
      <formula>NOT(ISERROR(SEARCH("P3",O412)))</formula>
    </cfRule>
  </conditionalFormatting>
  <conditionalFormatting sqref="O412:O480">
    <cfRule type="containsText" dxfId="7" priority="4" operator="containsText" text="P3">
      <formula>NOT(ISERROR(SEARCH("P3",O412)))</formula>
    </cfRule>
    <cfRule type="containsText" dxfId="6" priority="5" operator="containsText" text="P1">
      <formula>NOT(ISERROR(SEARCH("P1",O412)))</formula>
    </cfRule>
    <cfRule type="containsText" dxfId="5" priority="6" operator="containsText" text="P3">
      <formula>NOT(ISERROR(SEARCH("P3",O412)))</formula>
    </cfRule>
    <cfRule type="containsText" dxfId="4" priority="7" operator="containsText" text="P2">
      <formula>NOT(ISERROR(SEARCH("P2",O412)))</formula>
    </cfRule>
    <cfRule type="containsText" dxfId="3" priority="8" operator="containsText" text="P1">
      <formula>NOT(ISERROR(SEARCH("P1",O412)))</formula>
    </cfRule>
  </conditionalFormatting>
  <conditionalFormatting sqref="O412:O480">
    <cfRule type="cellIs" dxfId="2" priority="1" operator="equal">
      <formula>"P2"</formula>
    </cfRule>
    <cfRule type="cellIs" dxfId="1" priority="2" operator="equal">
      <formula>"P1"</formula>
    </cfRule>
    <cfRule type="cellIs" dxfId="0" priority="3" operator="equal">
      <formula>"P3"</formula>
    </cfRule>
  </conditionalFormatting>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Agrégat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AMABILE Tim</dc:creator>
  <cp:lastModifiedBy>AMABILE Tim</cp:lastModifiedBy>
  <cp:lastPrinted>2026-08-07T14:15:19Z</cp:lastPrinted>
  <dcterms:created xsi:type="dcterms:W3CDTF">2026-02-13T08:48:31Z</dcterms:created>
  <dcterms:modified xsi:type="dcterms:W3CDTF">2026-10-26T08:54:47Z</dcterms:modified>
</cp:coreProperties>
</file>