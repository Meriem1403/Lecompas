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T:\Conseiller_Prevention\Dossiers CP - Tim AMABILE\Gestion des risques\Accident\Analyse accident\"/>
    </mc:Choice>
  </mc:AlternateContent>
  <xr:revisionPtr revIDLastSave="0" documentId="13_ncr:1_{C97C01EA-EDA8-4E24-841F-DAEBD276D496}" xr6:coauthVersionLast="47" xr6:coauthVersionMax="47" xr10:uidLastSave="{00000000-0000-0000-0000-000000000000}"/>
  <bookViews>
    <workbookView xWindow="25080" yWindow="-690" windowWidth="29040" windowHeight="15720" activeTab="1" xr2:uid="{D8265546-4A6A-4B8B-9342-E40C0E6EB5C7}"/>
  </bookViews>
  <sheets>
    <sheet name="Analyse 2023-2025" sheetId="1" r:id="rId1"/>
    <sheet name="Détail acciden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7" i="1" l="1"/>
  <c r="K7" i="1"/>
  <c r="J7" i="1"/>
  <c r="M7" i="1"/>
  <c r="P14" i="2"/>
  <c r="M6" i="1"/>
  <c r="L6" i="1"/>
  <c r="K6" i="1"/>
  <c r="J6" i="1"/>
  <c r="M5" i="1"/>
  <c r="L5" i="1"/>
  <c r="K5" i="1"/>
  <c r="J5" i="1"/>
  <c r="J4" i="1"/>
  <c r="M4" i="1"/>
  <c r="L4" i="1"/>
  <c r="K4" i="1"/>
</calcChain>
</file>

<file path=xl/sharedStrings.xml><?xml version="1.0" encoding="utf-8"?>
<sst xmlns="http://schemas.openxmlformats.org/spreadsheetml/2006/main" count="278" uniqueCount="134">
  <si>
    <t>Causes</t>
  </si>
  <si>
    <t>Année</t>
  </si>
  <si>
    <t>Nb Accidents</t>
  </si>
  <si>
    <t xml:space="preserve">Avec arrêt </t>
  </si>
  <si>
    <t>Nb jours d'arrêts</t>
  </si>
  <si>
    <t>Brûlure</t>
  </si>
  <si>
    <t>Chute 2 roues</t>
  </si>
  <si>
    <t>Chute hauteur &gt;3m</t>
  </si>
  <si>
    <t>Chute plain pied</t>
  </si>
  <si>
    <t>Heurt</t>
  </si>
  <si>
    <t>Manutention manuelle</t>
  </si>
  <si>
    <t>Faux mouvement</t>
  </si>
  <si>
    <t xml:space="preserve">Sans arrêt </t>
  </si>
  <si>
    <t xml:space="preserve">Accident de la route </t>
  </si>
  <si>
    <t>Chute hauteur -3m</t>
  </si>
  <si>
    <t>Coupure</t>
  </si>
  <si>
    <t>Manutention mécanique</t>
  </si>
  <si>
    <t>Chute sur obstacle</t>
  </si>
  <si>
    <t>Nb accidents</t>
  </si>
  <si>
    <t>Avec arrêt</t>
  </si>
  <si>
    <t>NB jours arrêt</t>
  </si>
  <si>
    <t>Statistiques générales</t>
  </si>
  <si>
    <t>Niveau de gravité</t>
  </si>
  <si>
    <t>NB 2023</t>
  </si>
  <si>
    <t>NB 2024</t>
  </si>
  <si>
    <t>NB 2025</t>
  </si>
  <si>
    <t>G1</t>
  </si>
  <si>
    <t>G2</t>
  </si>
  <si>
    <t>G3</t>
  </si>
  <si>
    <t>G4</t>
  </si>
  <si>
    <t>G5</t>
  </si>
  <si>
    <t>Critère</t>
  </si>
  <si>
    <t>Sans arrêt</t>
  </si>
  <si>
    <t>Arrêt 1&lt;X&lt;8j</t>
  </si>
  <si>
    <t>Arrêt 8&lt;X&lt;45j</t>
  </si>
  <si>
    <t>Arrêt 45&lt;X&lt;90</t>
  </si>
  <si>
    <t>Arrêt &gt;90j</t>
  </si>
  <si>
    <t>Répartition</t>
  </si>
  <si>
    <t>6 Gyptis
6 SPB
1 administratif</t>
  </si>
  <si>
    <t>6 SPB
3 Gyptis
1 administratif
1 CSN</t>
  </si>
  <si>
    <t>Site</t>
  </si>
  <si>
    <t>Unité</t>
  </si>
  <si>
    <t>Catégorie Accident</t>
  </si>
  <si>
    <t>Type accident</t>
  </si>
  <si>
    <t>Date</t>
  </si>
  <si>
    <t>Circonstances (lieu/heure)</t>
  </si>
  <si>
    <t>Causes accidents</t>
  </si>
  <si>
    <t>Gravité</t>
  </si>
  <si>
    <t>Siège lésion</t>
  </si>
  <si>
    <t>Nature lésion</t>
  </si>
  <si>
    <t>Arrêt de travail</t>
  </si>
  <si>
    <t>Accident</t>
  </si>
  <si>
    <t>Début</t>
  </si>
  <si>
    <t>Fin</t>
  </si>
  <si>
    <t>La Garde</t>
  </si>
  <si>
    <t>Sur le lieu de travail</t>
  </si>
  <si>
    <t>Secteur d'intervention du navire et de son équipage</t>
  </si>
  <si>
    <t>5. NAVIRE DCS</t>
  </si>
  <si>
    <t>Travail</t>
  </si>
  <si>
    <t>Genou</t>
  </si>
  <si>
    <t>Autre</t>
  </si>
  <si>
    <t>Oui</t>
  </si>
  <si>
    <t>TOUS SITES administratifs DIRM (hébergés y compris)</t>
  </si>
  <si>
    <t>1. SERVICES ADMINISTRATIFS</t>
  </si>
  <si>
    <t>Trajet</t>
  </si>
  <si>
    <t>Travail-domicile</t>
  </si>
  <si>
    <t>(Marseille voie publique/17h30) L'agent empruntait le chemin habituel le plus court pour rejoindre son domicile, lorsqu'il à mit son pied droit sur un passage de chaussée déformée (trous/creux).</t>
  </si>
  <si>
    <t>Cheville
Genou
Bassin
Cou</t>
  </si>
  <si>
    <t>Entorse
Entorse
Autre
Autre</t>
  </si>
  <si>
    <t>Sites SPB secteur Bonifacio</t>
  </si>
  <si>
    <t>2. SPB</t>
  </si>
  <si>
    <t xml:space="preserve">Lorsque je me rendais au travail au matin avec ma voiture, j'ai perdu le contrôle du véhicule. </t>
  </si>
  <si>
    <t>Accident de la route</t>
  </si>
  <si>
    <t>COU
DOS
EPAULE
AUTRE</t>
  </si>
  <si>
    <t>Douleur musculaire
Douleur musculaire
Douleur musculaire
Choc psychologique</t>
  </si>
  <si>
    <t>non</t>
  </si>
  <si>
    <t>oui</t>
  </si>
  <si>
    <t>x</t>
  </si>
  <si>
    <t>DOS</t>
  </si>
  <si>
    <t>Mal de dos</t>
  </si>
  <si>
    <t>CROSS La Garde/22h43) L'agent intervenait d'astreinte sur site (CROSSMED) plusieurs déplacements été nécessaires pour dépanner l'avarie sur l'équipement radio (MHF secondaire). Lors d'un trajet au niveau du chemin de ronde côté sud du bâtiment principal il a trébuché sur une différence de niveau et s'est foulé la cheville gauche lorsqu'il a perdu l'équilibre.</t>
  </si>
  <si>
    <t xml:space="preserve"> 4. CROSS MED</t>
  </si>
  <si>
    <t>TRAVAIL</t>
  </si>
  <si>
    <t>Chute de terrain accidenté/glissant</t>
  </si>
  <si>
    <t xml:space="preserve">Cheville </t>
  </si>
  <si>
    <t>Lésion ligamentaire, musculaire</t>
  </si>
  <si>
    <t>(Voie publique Toulon/15h40) L'agent rentrait à son domicile par temps sec et beau en planche à roulettes, sur son trajet il se retourne pour saluer le gardien du site de son lieu de travail, c'est alors qu'il a perdu l'équilibre et a chuter au sol sur sa cheville gauche.</t>
  </si>
  <si>
    <t>COB TOULON</t>
  </si>
  <si>
    <t>2.SPB</t>
  </si>
  <si>
    <t>Entorse</t>
  </si>
  <si>
    <t xml:space="preserve">En se rendant à sa cabine située au pont inférieur du patrouilleur, l'agent a chuté dans descente (escalier). </t>
  </si>
  <si>
    <t>En embarquant à partir du quai sur l'annexe du navire, l'agent a glissé sur la partie avant du zodiac et a fait un faux mouvement qui a généré une doleur au niveau de son genoux. 
20h05</t>
  </si>
  <si>
    <t>COB Sète</t>
  </si>
  <si>
    <t xml:space="preserve">Travail </t>
  </si>
  <si>
    <t xml:space="preserve">Lors d'une intervention consistant à remplacer un feu de bouée en panne, l'agent a eu une douleur intense suite au trajet sur le semi rigide à vitesse élevée (30 n¿uds) et lors du saut de bouée depuis le bateau qui est surélevé. </t>
  </si>
  <si>
    <t>Heurt lors de la navigation</t>
  </si>
  <si>
    <t>DOS
Jambe</t>
  </si>
  <si>
    <t>Lumbago, Mal de dos
Sciatique</t>
  </si>
  <si>
    <t xml:space="preserve">Après avoir constaté au pied du phare que la câble d'alimentation et le capteur d'éclat du feu de secours pendaient le long de la passerelle extérieure et se balançaient avec le vent. L'agent est monté les rattacher au pied du support. En redescendant, il a glissé sur les marches de l'escalier métallique et son dos a heurté les marches. Il a depuis une douleur dans le haut du dos. </t>
  </si>
  <si>
    <t>Mal de dos, 
Douleur musculaire, 
Traumatisme, luxation, hématome</t>
  </si>
  <si>
    <t>Non</t>
  </si>
  <si>
    <t>X</t>
  </si>
  <si>
    <t>Posture</t>
  </si>
  <si>
    <t>3 SPB
2 Gyptis
1 CROSS
1 administratif</t>
  </si>
  <si>
    <t>Antennes CSN (agents hébergés) en PACA, Corse</t>
  </si>
  <si>
    <t>6. CSN</t>
  </si>
  <si>
    <t xml:space="preserve">A pied, équipé et en sac à dos, dans une descente urbaine (escaliers de la ville de Bastia) l'agent perds l'équilibre (pluie et boue de la veille) et tombe l’œil gauche sur une barre (environ 8-10mm) supportant de la rubalise de signalisation. L'agent à d'abord eu du mal à ouvrir son oeil, il s'est rendu aux urgences avec le véhicule de service. A ce jour, l'agent n'a pas été suivi par un ophtalmologiste mais a été arrêté par le CH de Bastia. </t>
  </si>
  <si>
    <t>Yeux</t>
  </si>
  <si>
    <t>plaie</t>
  </si>
  <si>
    <t>Mission ou déplacement</t>
  </si>
  <si>
    <t>Chute de plein pied entre la dalle d'entrée fu Feu de SAUSSET et les enrochement de la Digue.</t>
  </si>
  <si>
    <t>Chute de plain pied</t>
  </si>
  <si>
    <t>Tête</t>
  </si>
  <si>
    <t>L'agent s'est tordu la cheville gauche en descendant les marches du phare de Bear et a ressenti une vive douleur.</t>
  </si>
  <si>
    <t>Perte de vigilance</t>
  </si>
  <si>
    <t>Cheville</t>
  </si>
  <si>
    <t>En effectuant une manœuvre d'accostage avec l'annexe du navire M. Mardelle s'est mis en situation périlleuse et a fait un faux mouvement générant une douleur dans la cuisse gauche.</t>
  </si>
  <si>
    <t>Cuisse</t>
  </si>
  <si>
    <t>OUI</t>
  </si>
  <si>
    <t xml:space="preserve">En se déplaçant sur le pont l'agent à mis sur pied sur le câble d'alimentation électrique posé sur le pont. </t>
  </si>
  <si>
    <t>COB 2B</t>
  </si>
  <si>
    <t xml:space="preserve">L'agent s'est transpercé le deuxième doigt de la main avec un tournevis le 23/07/2026. Il n'a pas eu de douleurs jusqu'au 28/07/2026, date à laquelle sa blessure s'est surinfectée. </t>
  </si>
  <si>
    <t>Main</t>
  </si>
  <si>
    <t xml:space="preserve">Lors d'une intervention sur une bouée, l'agent s'est percé avec un forêt son annulaire droit. </t>
  </si>
  <si>
    <t>OUi</t>
  </si>
  <si>
    <t>Douleur lombaire ressentie lors de la manipulation d'une vanne dans le local machine.</t>
  </si>
  <si>
    <t>Lieu</t>
  </si>
  <si>
    <t>Dos</t>
  </si>
  <si>
    <t>NB 2026</t>
  </si>
  <si>
    <t>COB Marseille</t>
  </si>
  <si>
    <t>Sur le trajet</t>
  </si>
  <si>
    <t xml:space="preserve">En évitant un obstacle, l'agent s'est tordu le genou droit en se rendant sur son lieu de travail. </t>
  </si>
  <si>
    <t>Obstacle</t>
  </si>
  <si>
    <t>6 SPB
3 Gyptis
1 CSN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</si>
</sst>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8"/>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theme="4"/>
        <bgColor indexed="64"/>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63">
    <xf numFmtId="0" fontId="0" fillId="0" borderId="0" xfId="0"/>
    <xf numFmtId="0" fontId="0" fillId="0" borderId="5" xfId="0" applyBorder="1"/>
    <xf numFmtId="0" fontId="0" fillId="0" borderId="6" xfId="0" applyBorder="1"/>
    <xf numFmtId="0" fontId="0" fillId="0" borderId="7" xfId="0" applyBorder="1"/>
    <xf numFmtId="0" fontId="0" fillId="3" borderId="4" xfId="0" applyFill="1" applyBorder="1"/>
    <xf numFmtId="0" fontId="0" fillId="4" borderId="4" xfId="0" applyFill="1" applyBorder="1"/>
    <xf numFmtId="0" fontId="0" fillId="2" borderId="4" xfId="0" applyFill="1" applyBorder="1"/>
    <xf numFmtId="0" fontId="0" fillId="3" borderId="11" xfId="0" applyFill="1" applyBorder="1"/>
    <xf numFmtId="0" fontId="2" fillId="3" borderId="8" xfId="0" applyFont="1" applyFill="1" applyBorder="1"/>
    <xf numFmtId="0" fontId="2" fillId="3" borderId="4" xfId="0" applyFont="1" applyFill="1" applyBorder="1"/>
    <xf numFmtId="0" fontId="2" fillId="4" borderId="8" xfId="0" applyFont="1" applyFill="1" applyBorder="1"/>
    <xf numFmtId="0" fontId="2" fillId="4" borderId="4" xfId="0" applyFont="1" applyFill="1" applyBorder="1"/>
    <xf numFmtId="0" fontId="2" fillId="2" borderId="8" xfId="0" applyFont="1" applyFill="1" applyBorder="1"/>
    <xf numFmtId="0" fontId="2" fillId="2" borderId="4" xfId="0" applyFont="1" applyFill="1" applyBorder="1"/>
    <xf numFmtId="0" fontId="1" fillId="3" borderId="9" xfId="0" applyFont="1" applyFill="1" applyBorder="1"/>
    <xf numFmtId="0" fontId="1" fillId="4" borderId="9" xfId="0" applyFont="1" applyFill="1" applyBorder="1"/>
    <xf numFmtId="0" fontId="1" fillId="2" borderId="9" xfId="0" applyFont="1" applyFill="1" applyBorder="1"/>
    <xf numFmtId="0" fontId="2" fillId="0" borderId="5" xfId="0" applyFont="1" applyBorder="1"/>
    <xf numFmtId="0" fontId="2" fillId="0" borderId="6" xfId="0" applyFont="1" applyBorder="1"/>
    <xf numFmtId="0" fontId="3" fillId="0" borderId="10" xfId="0" applyFont="1" applyBorder="1" applyAlignment="1">
      <alignment horizontal="center" vertical="center"/>
    </xf>
    <xf numFmtId="0" fontId="0" fillId="0" borderId="11" xfId="0" applyBorder="1" applyAlignment="1">
      <alignment horizontal="center" vertical="center"/>
    </xf>
    <xf numFmtId="0" fontId="1" fillId="0" borderId="11" xfId="0" applyFont="1" applyBorder="1" applyAlignment="1">
      <alignment horizontal="center" vertical="center"/>
    </xf>
    <xf numFmtId="0" fontId="2" fillId="0" borderId="12" xfId="0" applyFont="1" applyBorder="1" applyAlignment="1">
      <alignment horizontal="left" wrapText="1"/>
    </xf>
    <xf numFmtId="0" fontId="3" fillId="2" borderId="8" xfId="0" applyFont="1" applyFill="1" applyBorder="1" applyAlignment="1">
      <alignment horizontal="center" vertical="center"/>
    </xf>
    <xf numFmtId="0" fontId="0" fillId="2" borderId="4" xfId="0" applyFill="1" applyBorder="1" applyAlignment="1">
      <alignment horizontal="center" vertical="center"/>
    </xf>
    <xf numFmtId="0" fontId="1" fillId="2" borderId="4" xfId="0" applyFont="1" applyFill="1" applyBorder="1" applyAlignment="1">
      <alignment horizontal="center" vertical="center"/>
    </xf>
    <xf numFmtId="0" fontId="2" fillId="2" borderId="9" xfId="0" applyFont="1" applyFill="1" applyBorder="1" applyAlignment="1">
      <alignment horizontal="left" wrapText="1"/>
    </xf>
    <xf numFmtId="0" fontId="3" fillId="3" borderId="8" xfId="0" applyFont="1" applyFill="1" applyBorder="1" applyAlignment="1">
      <alignment horizontal="center" vertical="center"/>
    </xf>
    <xf numFmtId="0" fontId="0" fillId="3" borderId="4" xfId="0" applyFill="1" applyBorder="1" applyAlignment="1">
      <alignment horizontal="center" vertical="center"/>
    </xf>
    <xf numFmtId="0" fontId="1" fillId="3" borderId="4" xfId="0" applyFont="1" applyFill="1" applyBorder="1" applyAlignment="1">
      <alignment horizontal="center" vertical="center"/>
    </xf>
    <xf numFmtId="0" fontId="2" fillId="3" borderId="9" xfId="0" applyFont="1" applyFill="1" applyBorder="1" applyAlignment="1">
      <alignment horizontal="left" wrapText="1"/>
    </xf>
    <xf numFmtId="0" fontId="0" fillId="2" borderId="11" xfId="0" applyFill="1" applyBorder="1"/>
    <xf numFmtId="0" fontId="2" fillId="5" borderId="8" xfId="0" applyFont="1" applyFill="1" applyBorder="1"/>
    <xf numFmtId="0" fontId="0" fillId="5" borderId="4" xfId="0" applyFill="1" applyBorder="1"/>
    <xf numFmtId="0" fontId="2" fillId="5" borderId="10" xfId="0" applyFont="1" applyFill="1" applyBorder="1"/>
    <xf numFmtId="0" fontId="0" fillId="5" borderId="11" xfId="0" applyFill="1" applyBorder="1"/>
    <xf numFmtId="0" fontId="0" fillId="5" borderId="0" xfId="0" applyFill="1"/>
    <xf numFmtId="0" fontId="0" fillId="0" borderId="0" xfId="0" applyFill="1" applyAlignment="1">
      <alignment vertical="center" wrapText="1"/>
    </xf>
    <xf numFmtId="14" fontId="0" fillId="0" borderId="0" xfId="0" applyNumberFormat="1" applyFill="1" applyAlignment="1">
      <alignment vertical="center" wrapText="1"/>
    </xf>
    <xf numFmtId="0" fontId="0" fillId="0" borderId="0" xfId="0" applyFill="1" applyAlignment="1">
      <alignment horizontal="center" vertical="center" wrapText="1"/>
    </xf>
    <xf numFmtId="0" fontId="0" fillId="0" borderId="0" xfId="0" applyFill="1" applyAlignment="1">
      <alignment vertical="center"/>
    </xf>
    <xf numFmtId="14" fontId="0" fillId="0" borderId="0" xfId="0" applyNumberFormat="1" applyFill="1" applyAlignment="1">
      <alignment horizontal="center" vertical="center" wrapText="1"/>
    </xf>
    <xf numFmtId="0" fontId="2" fillId="4" borderId="10" xfId="0" applyFont="1" applyFill="1" applyBorder="1"/>
    <xf numFmtId="0" fontId="2" fillId="4" borderId="11" xfId="0" applyFont="1" applyFill="1" applyBorder="1"/>
    <xf numFmtId="0" fontId="0" fillId="4" borderId="11" xfId="0" applyFill="1" applyBorder="1"/>
    <xf numFmtId="0" fontId="1" fillId="4" borderId="12" xfId="0" applyFont="1" applyFill="1" applyBorder="1"/>
    <xf numFmtId="0" fontId="2" fillId="6" borderId="8" xfId="0" applyFont="1" applyFill="1" applyBorder="1"/>
    <xf numFmtId="0" fontId="2" fillId="6" borderId="4" xfId="0" applyFont="1" applyFill="1" applyBorder="1"/>
    <xf numFmtId="0" fontId="0" fillId="6" borderId="4" xfId="0" applyFill="1" applyBorder="1"/>
    <xf numFmtId="0" fontId="1" fillId="6" borderId="9" xfId="0" applyFont="1" applyFill="1" applyBorder="1"/>
    <xf numFmtId="0" fontId="2" fillId="6" borderId="10" xfId="0" applyFont="1" applyFill="1" applyBorder="1"/>
    <xf numFmtId="0" fontId="0" fillId="6" borderId="11" xfId="0" applyFill="1" applyBorder="1"/>
    <xf numFmtId="0" fontId="1" fillId="6" borderId="12" xfId="0" applyFont="1" applyFill="1" applyBorder="1"/>
    <xf numFmtId="0" fontId="3" fillId="6" borderId="10" xfId="0" applyFont="1" applyFill="1" applyBorder="1" applyAlignment="1">
      <alignment horizontal="center" vertical="center"/>
    </xf>
    <xf numFmtId="0" fontId="0" fillId="6" borderId="11" xfId="0" applyFill="1" applyBorder="1" applyAlignment="1">
      <alignment horizontal="center" vertical="center"/>
    </xf>
    <xf numFmtId="0" fontId="1" fillId="6" borderId="11" xfId="0" applyFont="1" applyFill="1" applyBorder="1" applyAlignment="1">
      <alignment horizontal="center" vertical="center"/>
    </xf>
    <xf numFmtId="0" fontId="2" fillId="6" borderId="12" xfId="0" applyFont="1" applyFill="1" applyBorder="1" applyAlignment="1">
      <alignment horizontal="left" wrapText="1"/>
    </xf>
    <xf numFmtId="0" fontId="0" fillId="6" borderId="9" xfId="0" applyFill="1" applyBorder="1"/>
    <xf numFmtId="0" fontId="0" fillId="6" borderId="12" xfId="0" applyFill="1" applyBorder="1"/>
    <xf numFmtId="0" fontId="2" fillId="7" borderId="7" xfId="0" applyFont="1" applyFill="1" applyBorder="1"/>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cellXfs>
  <cellStyles count="1">
    <cellStyle name="Normal" xfId="0" builtinId="0"/>
  </cellStyles>
  <dxfs count="46">
    <dxf>
      <fill>
        <patternFill patternType="none">
          <fgColor indexed="64"/>
          <bgColor auto="1"/>
        </patternFill>
      </fill>
      <alignment horizontal="general" vertical="center" textRotation="0" wrapText="1" indent="0" justifyLastLine="0" shrinkToFit="0" readingOrder="0"/>
    </dxf>
    <dxf>
      <numFmt numFmtId="19" formatCode="dd/mm/yyyy"/>
      <fill>
        <patternFill patternType="none">
          <fgColor indexed="64"/>
          <bgColor auto="1"/>
        </patternFill>
      </fill>
      <alignment horizontal="general" vertical="center" textRotation="0" wrapText="1" indent="0" justifyLastLine="0" shrinkToFit="0" readingOrder="0"/>
    </dxf>
    <dxf>
      <numFmt numFmtId="19" formatCode="dd/mm/yyyy"/>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numFmt numFmtId="19" formatCode="dd/mm/yyyy"/>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dxf>
    <dxf>
      <fill>
        <patternFill patternType="solid">
          <fgColor indexed="64"/>
          <bgColor theme="5" tint="0.39997558519241921"/>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font>
      <border diagonalUp="0" diagonalDown="0">
        <left style="thin">
          <color indexed="64"/>
        </left>
        <right style="thin">
          <color indexed="64"/>
        </right>
        <top/>
        <bottom/>
        <vertical style="thin">
          <color indexed="64"/>
        </vertical>
        <horizontal style="thin">
          <color indexed="64"/>
        </horizontal>
      </border>
    </dxf>
    <dxf>
      <font>
        <b/>
      </font>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rgb="FFFF000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rgb="FFFF0000"/>
        <name val="Calibri"/>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4ABAA-8F0C-4E0E-A5F6-1CCC227092F7}" name="Tableau1" displayName="Tableau1" ref="B2:G27" totalsRowShown="0" headerRowDxfId="45" headerRowBorderDxfId="44" tableBorderDxfId="43" totalsRowBorderDxfId="42">
  <autoFilter ref="B2:G27" xr:uid="{B5E4ABAA-8F0C-4E0E-A5F6-1CCC227092F7}"/>
  <sortState xmlns:xlrd2="http://schemas.microsoft.com/office/spreadsheetml/2017/richdata2" ref="B3:G27">
    <sortCondition ref="C2:C27"/>
  </sortState>
  <tableColumns count="6">
    <tableColumn id="1" xr3:uid="{091EDA15-B315-4646-93AF-DC1D14B8B183}" name="Causes" dataDxfId="41"/>
    <tableColumn id="2" xr3:uid="{44DD3C0E-0225-4D75-99EC-A55C57585107}" name="Année" dataDxfId="40"/>
    <tableColumn id="3" xr3:uid="{C8A57DBC-F133-4295-8E90-EA6E8473A31F}" name="Nb Accidents" dataDxfId="39"/>
    <tableColumn id="4" xr3:uid="{6651A191-A645-4147-9E3F-1601194582AA}" name="Sans arrêt " dataDxfId="38"/>
    <tableColumn id="5" xr3:uid="{7678F84D-6E63-4F2F-8200-0130FA1D1BC0}" name="Avec arrêt " dataDxfId="37"/>
    <tableColumn id="6" xr3:uid="{44532BE7-3690-4496-B67A-E0A87262C167}" name="Nb jours d'arrêts"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E54541-6E5C-4BEE-B4CC-CDE1BCB5A61F}" name="Tableau2" displayName="Tableau2" ref="I3:N7" totalsRowShown="0" headerRowDxfId="35" headerRowBorderDxfId="34" tableBorderDxfId="33" totalsRowBorderDxfId="32">
  <autoFilter ref="I3:N7" xr:uid="{2DE54541-6E5C-4BEE-B4CC-CDE1BCB5A61F}"/>
  <tableColumns count="6">
    <tableColumn id="1" xr3:uid="{EA29C903-1BF6-498E-961F-00740AF770DB}" name="Année" dataDxfId="31"/>
    <tableColumn id="2" xr3:uid="{8B8156C1-E1A9-4C59-ADBC-604150729AFB}" name="Nb accidents" dataDxfId="30"/>
    <tableColumn id="3" xr3:uid="{1B9C658A-8168-46FB-91ED-B54B4742AF4F}" name="Sans arrêt " dataDxfId="29"/>
    <tableColumn id="4" xr3:uid="{95A45B95-90A2-4849-BCAB-BE7DF4F98582}" name="Avec arrêt" dataDxfId="28"/>
    <tableColumn id="5" xr3:uid="{74891C85-1976-4BE2-99C3-A176CD0806DF}" name="NB jours arrêt" dataDxfId="27"/>
    <tableColumn id="6" xr3:uid="{CBF7A91F-AB2C-46E5-BBC4-98427E5ABFB0}" name="Répartition"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333982-1C64-4C6F-9FD6-4377CDD44DB1}" name="Tableau3" displayName="Tableau3" ref="I13:N18" totalsRowShown="0" headerRowDxfId="25" headerRowBorderDxfId="24" tableBorderDxfId="23" totalsRowBorderDxfId="22">
  <autoFilter ref="I13:N18" xr:uid="{77333982-1C64-4C6F-9FD6-4377CDD44DB1}"/>
  <tableColumns count="6">
    <tableColumn id="1" xr3:uid="{94A28B82-845D-49EB-B1DC-232E3CA23466}" name="Niveau de gravité" dataDxfId="21"/>
    <tableColumn id="2" xr3:uid="{440F9353-7A73-424F-A7D5-8131DBAFCECD}" name="Critère" dataDxfId="20"/>
    <tableColumn id="3" xr3:uid="{5CBBE372-384F-44CD-8C86-6546E6C67B94}" name="NB 2023" dataDxfId="19"/>
    <tableColumn id="4" xr3:uid="{DCF12122-6366-41B7-B748-18E5CB97ADB4}" name="NB 2024" dataDxfId="18"/>
    <tableColumn id="5" xr3:uid="{6C9E396A-C0B4-4948-ADDA-09E6420D6051}" name="NB 2025" dataDxfId="17"/>
    <tableColumn id="6" xr3:uid="{87DD7429-D992-4C63-8B10-9513A811BD6E}" name="NB 2026" dataDxf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8A4F35-BF95-4E3B-A6DA-D9FD0C9F42EB}" name="Tableau4" displayName="Tableau4" ref="B2:P19" totalsRowShown="0" dataDxfId="15">
  <autoFilter ref="B2:P19" xr:uid="{CA8A4F35-BF95-4E3B-A6DA-D9FD0C9F42EB}"/>
  <tableColumns count="15">
    <tableColumn id="1" xr3:uid="{1AF3331D-A304-43A1-AD60-7291BF790278}" name="Site" dataDxfId="14"/>
    <tableColumn id="3" xr3:uid="{CF533DD9-3B58-4632-BADC-06B45BC36EDA}" name="Unité" dataDxfId="13"/>
    <tableColumn id="4" xr3:uid="{FF9DCA9F-430F-44B6-BC81-77D9B595794E}" name="Catégorie Accident" dataDxfId="12"/>
    <tableColumn id="5" xr3:uid="{158B58C2-36E1-4704-9003-839BE6B2C71E}" name="Type accident" dataDxfId="11"/>
    <tableColumn id="6" xr3:uid="{C335CF10-97FE-4353-B565-C337F685C872}" name="Date" dataDxfId="10"/>
    <tableColumn id="7" xr3:uid="{E2E047B5-35DC-41B1-975F-941F0E112E1E}" name="Circonstances (lieu/heure)" dataDxfId="9"/>
    <tableColumn id="8" xr3:uid="{462EC46D-0FDD-43A1-A4CA-E16A2C4225CF}" name="Causes accidents" dataDxfId="8"/>
    <tableColumn id="9" xr3:uid="{C31442B7-A70D-45EE-9BD2-D50CFDC4F0E9}" name="Gravité" dataDxfId="7"/>
    <tableColumn id="10" xr3:uid="{D7B63C38-0CE4-49B4-8AA7-CEC0E6D33425}" name="Siège lésion" dataDxfId="6"/>
    <tableColumn id="11" xr3:uid="{26F6EE69-BD97-433E-85A2-72EC7C499409}" name="Nature lésion" dataDxfId="5"/>
    <tableColumn id="12" xr3:uid="{94671DC6-8E00-416F-AE30-C21B74A55034}" name="Arrêt de travail" dataDxfId="4"/>
    <tableColumn id="13" xr3:uid="{BDE7D918-408C-43E2-BE21-99C92F2A40B7}" name="Accident" dataDxfId="3"/>
    <tableColumn id="14" xr3:uid="{E4B77FE0-CB62-4D8C-BB10-0E75DA10924F}" name="Début" dataDxfId="2"/>
    <tableColumn id="15" xr3:uid="{CA33A291-3FB2-47BB-BFF1-24130159157F}" name="Fin" dataDxfId="1"/>
    <tableColumn id="16" xr3:uid="{4024F44B-3ECB-4D6D-8772-80E9DD762E7A}" name="NB jours arrêt"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7F706-44C3-4C61-BEC2-A523B8C8E833}">
  <dimension ref="A1:V83"/>
  <sheetViews>
    <sheetView workbookViewId="0">
      <selection activeCell="N10" sqref="N10"/>
    </sheetView>
  </sheetViews>
  <sheetFormatPr baseColWidth="10" defaultRowHeight="15" x14ac:dyDescent="0.25"/>
  <cols>
    <col min="1" max="1" width="11.42578125" style="36"/>
    <col min="2" max="2" width="23.28515625" customWidth="1"/>
    <col min="4" max="4" width="14.7109375" customWidth="1"/>
    <col min="5" max="5" width="12.42578125" customWidth="1"/>
    <col min="6" max="6" width="12.5703125" customWidth="1"/>
    <col min="7" max="7" width="17.85546875" customWidth="1"/>
    <col min="8" max="8" width="6" style="36" customWidth="1"/>
    <col min="9" max="9" width="18.7109375" customWidth="1"/>
    <col min="10" max="10" width="14.42578125" customWidth="1"/>
    <col min="11" max="11" width="12.28515625" customWidth="1"/>
    <col min="12" max="12" width="12.140625" customWidth="1"/>
    <col min="13" max="13" width="15.28515625" customWidth="1"/>
    <col min="14" max="15" width="27.42578125" customWidth="1"/>
    <col min="16" max="22" width="11.42578125" style="36"/>
  </cols>
  <sheetData>
    <row r="1" spans="2:15" s="36" customFormat="1" ht="15.75" thickBot="1" x14ac:dyDescent="0.3"/>
    <row r="2" spans="2:15" ht="19.5" thickBot="1" x14ac:dyDescent="0.35">
      <c r="B2" s="1" t="s">
        <v>0</v>
      </c>
      <c r="C2" s="2" t="s">
        <v>1</v>
      </c>
      <c r="D2" s="2" t="s">
        <v>2</v>
      </c>
      <c r="E2" s="2" t="s">
        <v>12</v>
      </c>
      <c r="F2" s="2" t="s">
        <v>3</v>
      </c>
      <c r="G2" s="3" t="s">
        <v>4</v>
      </c>
      <c r="I2" s="60" t="s">
        <v>21</v>
      </c>
      <c r="J2" s="61"/>
      <c r="K2" s="61"/>
      <c r="L2" s="61"/>
      <c r="M2" s="61"/>
      <c r="N2" s="62"/>
      <c r="O2" s="36"/>
    </row>
    <row r="3" spans="2:15" x14ac:dyDescent="0.25">
      <c r="B3" s="12" t="s">
        <v>5</v>
      </c>
      <c r="C3" s="13">
        <v>2023</v>
      </c>
      <c r="D3" s="6">
        <v>1</v>
      </c>
      <c r="E3" s="6">
        <v>1</v>
      </c>
      <c r="F3" s="6"/>
      <c r="G3" s="16"/>
      <c r="I3" s="1" t="s">
        <v>1</v>
      </c>
      <c r="J3" s="2" t="s">
        <v>18</v>
      </c>
      <c r="K3" s="2" t="s">
        <v>12</v>
      </c>
      <c r="L3" s="2" t="s">
        <v>19</v>
      </c>
      <c r="M3" s="2" t="s">
        <v>20</v>
      </c>
      <c r="N3" s="3" t="s">
        <v>37</v>
      </c>
      <c r="O3" s="36"/>
    </row>
    <row r="4" spans="2:15" ht="45" x14ac:dyDescent="0.25">
      <c r="B4" s="12" t="s">
        <v>6</v>
      </c>
      <c r="C4" s="13">
        <v>2023</v>
      </c>
      <c r="D4" s="6">
        <v>1</v>
      </c>
      <c r="E4" s="6"/>
      <c r="F4" s="6">
        <v>1</v>
      </c>
      <c r="G4" s="16">
        <v>225</v>
      </c>
      <c r="I4" s="23">
        <v>2023</v>
      </c>
      <c r="J4" s="24">
        <f>SUMIF(Tableau1[Année],"2023",Tableau1[Nb Accidents])</f>
        <v>13</v>
      </c>
      <c r="K4" s="24">
        <f>SUMIF(Tableau1[Année],"2023",Tableau1[[Sans arrêt ]])</f>
        <v>4</v>
      </c>
      <c r="L4" s="24">
        <f>SUMIF(Tableau1[Année],"2023",Tableau1[[Avec arrêt ]])</f>
        <v>9</v>
      </c>
      <c r="M4" s="25">
        <f>SUMIF(Tableau1[Année],"2023",Tableau1[Nb jours d''arrêts])</f>
        <v>816</v>
      </c>
      <c r="N4" s="26" t="s">
        <v>38</v>
      </c>
      <c r="O4" s="36"/>
    </row>
    <row r="5" spans="2:15" ht="60" x14ac:dyDescent="0.25">
      <c r="B5" s="12" t="s">
        <v>7</v>
      </c>
      <c r="C5" s="13">
        <v>2023</v>
      </c>
      <c r="D5" s="6">
        <v>1</v>
      </c>
      <c r="E5" s="6"/>
      <c r="F5" s="6">
        <v>1</v>
      </c>
      <c r="G5" s="16">
        <v>3</v>
      </c>
      <c r="I5" s="27">
        <v>2024</v>
      </c>
      <c r="J5" s="28">
        <f>SUMIF(Tableau1[Année],"2024",Tableau1[Nb Accidents])</f>
        <v>11</v>
      </c>
      <c r="K5" s="28">
        <f>SUMIF(Tableau1[Année],"2024",Tableau1[[Sans arrêt ]])</f>
        <v>4</v>
      </c>
      <c r="L5" s="28">
        <f>SUMIF(Tableau1[Année],"2024",Tableau1[[Avec arrêt ]])</f>
        <v>7</v>
      </c>
      <c r="M5" s="29">
        <f>SUMIF(Tableau1[Année],"2024",Tableau1[Nb jours d''arrêts])</f>
        <v>343</v>
      </c>
      <c r="N5" s="30" t="s">
        <v>39</v>
      </c>
      <c r="O5" s="36"/>
    </row>
    <row r="6" spans="2:15" ht="60" x14ac:dyDescent="0.25">
      <c r="B6" s="12" t="s">
        <v>14</v>
      </c>
      <c r="C6" s="13">
        <v>2023</v>
      </c>
      <c r="D6" s="6">
        <v>2</v>
      </c>
      <c r="E6" s="6">
        <v>1</v>
      </c>
      <c r="F6" s="6">
        <v>1</v>
      </c>
      <c r="G6" s="16">
        <v>104</v>
      </c>
      <c r="I6" s="19">
        <v>2025</v>
      </c>
      <c r="J6" s="20">
        <f>SUMIF(Tableau1[Année],"2025",Tableau1[Nb Accidents])</f>
        <v>7</v>
      </c>
      <c r="K6" s="20">
        <f>SUMIF(Tableau1[Année],"2025",Tableau1[[Sans arrêt ]])</f>
        <v>1</v>
      </c>
      <c r="L6" s="20">
        <f>SUMIF(Tableau1[Année],"2025",Tableau1[[Avec arrêt ]])</f>
        <v>6</v>
      </c>
      <c r="M6" s="21">
        <f>SUMIF(Tableau1[Année],"2025",Tableau1[Nb jours d''arrêts])</f>
        <v>206</v>
      </c>
      <c r="N6" s="22" t="s">
        <v>103</v>
      </c>
      <c r="O6" s="36"/>
    </row>
    <row r="7" spans="2:15" ht="45" x14ac:dyDescent="0.25">
      <c r="B7" s="12" t="s">
        <v>8</v>
      </c>
      <c r="C7" s="13">
        <v>2023</v>
      </c>
      <c r="D7" s="6">
        <v>2</v>
      </c>
      <c r="E7" s="6"/>
      <c r="F7" s="6">
        <v>2</v>
      </c>
      <c r="G7" s="16">
        <v>63</v>
      </c>
      <c r="I7" s="53">
        <v>2026</v>
      </c>
      <c r="J7" s="54">
        <f>SUMIF(Tableau1[Année],"2026",Tableau1[Nb Accidents])</f>
        <v>10</v>
      </c>
      <c r="K7" s="54">
        <f>SUMIF(Tableau1[Année],"2026",Tableau1[[Sans arrêt ]])</f>
        <v>5</v>
      </c>
      <c r="L7" s="54">
        <f>SUMIF(Tableau1[Année],"2026",Tableau1[[Avec arrêt ]])</f>
        <v>5</v>
      </c>
      <c r="M7" s="55">
        <f>SUMIF(Tableau1[Année],"2026",Tableau1[Nb jours d''arrêts])</f>
        <v>107</v>
      </c>
      <c r="N7" s="56" t="s">
        <v>133</v>
      </c>
      <c r="O7" s="36"/>
    </row>
    <row r="8" spans="2:15" x14ac:dyDescent="0.25">
      <c r="B8" s="12" t="s">
        <v>11</v>
      </c>
      <c r="C8" s="13">
        <v>2023</v>
      </c>
      <c r="D8" s="6">
        <v>1</v>
      </c>
      <c r="E8" s="6"/>
      <c r="F8" s="6">
        <v>1</v>
      </c>
      <c r="G8" s="16">
        <v>301</v>
      </c>
      <c r="I8" s="36"/>
      <c r="J8" s="36"/>
      <c r="K8" s="36"/>
      <c r="L8" s="36"/>
      <c r="M8" s="36"/>
      <c r="N8" s="36"/>
      <c r="O8" s="36"/>
    </row>
    <row r="9" spans="2:15" x14ac:dyDescent="0.25">
      <c r="B9" s="12" t="s">
        <v>9</v>
      </c>
      <c r="C9" s="13">
        <v>2023</v>
      </c>
      <c r="D9" s="6">
        <v>2</v>
      </c>
      <c r="E9" s="6">
        <v>1</v>
      </c>
      <c r="F9" s="6">
        <v>1</v>
      </c>
      <c r="G9" s="16">
        <v>113</v>
      </c>
      <c r="I9" s="36"/>
      <c r="J9" s="36"/>
      <c r="K9" s="36"/>
      <c r="L9" s="36"/>
      <c r="M9" s="36"/>
      <c r="N9" s="36"/>
      <c r="O9" s="36"/>
    </row>
    <row r="10" spans="2:15" x14ac:dyDescent="0.25">
      <c r="B10" s="12" t="s">
        <v>10</v>
      </c>
      <c r="C10" s="13">
        <v>2023</v>
      </c>
      <c r="D10" s="6">
        <v>3</v>
      </c>
      <c r="E10" s="6">
        <v>1</v>
      </c>
      <c r="F10" s="6">
        <v>2</v>
      </c>
      <c r="G10" s="16">
        <v>7</v>
      </c>
      <c r="I10" s="36"/>
      <c r="J10" s="36"/>
      <c r="K10" s="36"/>
      <c r="L10" s="36"/>
      <c r="M10" s="36"/>
      <c r="N10" s="36"/>
      <c r="O10" s="36"/>
    </row>
    <row r="11" spans="2:15" x14ac:dyDescent="0.25">
      <c r="B11" s="8" t="s">
        <v>13</v>
      </c>
      <c r="C11" s="9">
        <v>2024</v>
      </c>
      <c r="D11" s="4">
        <v>1</v>
      </c>
      <c r="E11" s="4"/>
      <c r="F11" s="4">
        <v>1</v>
      </c>
      <c r="G11" s="14">
        <v>155</v>
      </c>
      <c r="I11" s="36"/>
      <c r="J11" s="36"/>
      <c r="K11" s="36"/>
      <c r="L11" s="36"/>
      <c r="M11" s="36"/>
      <c r="N11" s="36"/>
      <c r="O11" s="36"/>
    </row>
    <row r="12" spans="2:15" x14ac:dyDescent="0.25">
      <c r="B12" s="8" t="s">
        <v>14</v>
      </c>
      <c r="C12" s="9">
        <v>2024</v>
      </c>
      <c r="D12" s="4">
        <v>1</v>
      </c>
      <c r="E12" s="4">
        <v>1</v>
      </c>
      <c r="F12" s="4"/>
      <c r="G12" s="14"/>
      <c r="I12" s="36"/>
      <c r="J12" s="36"/>
      <c r="K12" s="36"/>
      <c r="L12" s="36"/>
      <c r="M12" s="36"/>
      <c r="N12" s="36"/>
      <c r="O12" s="36"/>
    </row>
    <row r="13" spans="2:15" x14ac:dyDescent="0.25">
      <c r="B13" s="8" t="s">
        <v>8</v>
      </c>
      <c r="C13" s="9">
        <v>2024</v>
      </c>
      <c r="D13" s="4">
        <v>2</v>
      </c>
      <c r="E13" s="4"/>
      <c r="F13" s="4">
        <v>2</v>
      </c>
      <c r="G13" s="14">
        <v>89</v>
      </c>
      <c r="I13" s="17" t="s">
        <v>22</v>
      </c>
      <c r="J13" s="18" t="s">
        <v>31</v>
      </c>
      <c r="K13" s="18" t="s">
        <v>23</v>
      </c>
      <c r="L13" s="18" t="s">
        <v>24</v>
      </c>
      <c r="M13" s="18" t="s">
        <v>25</v>
      </c>
      <c r="N13" s="59" t="s">
        <v>128</v>
      </c>
      <c r="O13" s="36"/>
    </row>
    <row r="14" spans="2:15" x14ac:dyDescent="0.25">
      <c r="B14" s="8" t="s">
        <v>15</v>
      </c>
      <c r="C14" s="9">
        <v>2024</v>
      </c>
      <c r="D14" s="4">
        <v>2</v>
      </c>
      <c r="E14" s="4">
        <v>1</v>
      </c>
      <c r="F14" s="4">
        <v>1</v>
      </c>
      <c r="G14" s="14">
        <v>4</v>
      </c>
      <c r="I14" s="32" t="s">
        <v>26</v>
      </c>
      <c r="J14" s="33" t="s">
        <v>32</v>
      </c>
      <c r="K14" s="6">
        <v>4</v>
      </c>
      <c r="L14" s="4">
        <v>4</v>
      </c>
      <c r="M14" s="5">
        <v>1</v>
      </c>
      <c r="N14" s="57">
        <v>5</v>
      </c>
      <c r="O14" s="36"/>
    </row>
    <row r="15" spans="2:15" x14ac:dyDescent="0.25">
      <c r="B15" s="8" t="s">
        <v>11</v>
      </c>
      <c r="C15" s="9">
        <v>2024</v>
      </c>
      <c r="D15" s="4">
        <v>1</v>
      </c>
      <c r="E15" s="4">
        <v>1</v>
      </c>
      <c r="F15" s="4"/>
      <c r="G15" s="14"/>
      <c r="I15" s="32" t="s">
        <v>27</v>
      </c>
      <c r="J15" s="33" t="s">
        <v>33</v>
      </c>
      <c r="K15" s="6">
        <v>3</v>
      </c>
      <c r="L15" s="4">
        <v>2</v>
      </c>
      <c r="M15" s="5">
        <v>1</v>
      </c>
      <c r="N15" s="57"/>
      <c r="O15" s="36"/>
    </row>
    <row r="16" spans="2:15" x14ac:dyDescent="0.25">
      <c r="B16" s="8" t="s">
        <v>10</v>
      </c>
      <c r="C16" s="9">
        <v>2024</v>
      </c>
      <c r="D16" s="4">
        <v>3</v>
      </c>
      <c r="E16" s="4">
        <v>1</v>
      </c>
      <c r="F16" s="4">
        <v>2</v>
      </c>
      <c r="G16" s="14">
        <v>80</v>
      </c>
      <c r="I16" s="32" t="s">
        <v>28</v>
      </c>
      <c r="J16" s="33" t="s">
        <v>34</v>
      </c>
      <c r="K16" s="6">
        <v>1</v>
      </c>
      <c r="L16" s="4">
        <v>2</v>
      </c>
      <c r="M16" s="5">
        <v>3</v>
      </c>
      <c r="N16" s="57">
        <v>3</v>
      </c>
      <c r="O16" s="36"/>
    </row>
    <row r="17" spans="2:15" x14ac:dyDescent="0.25">
      <c r="B17" s="8" t="s">
        <v>16</v>
      </c>
      <c r="C17" s="9">
        <v>2024</v>
      </c>
      <c r="D17" s="4">
        <v>1</v>
      </c>
      <c r="E17" s="4"/>
      <c r="F17" s="4">
        <v>1</v>
      </c>
      <c r="G17" s="14">
        <v>15</v>
      </c>
      <c r="I17" s="32" t="s">
        <v>29</v>
      </c>
      <c r="J17" s="33" t="s">
        <v>35</v>
      </c>
      <c r="K17" s="6">
        <v>1</v>
      </c>
      <c r="L17" s="4">
        <v>2</v>
      </c>
      <c r="M17" s="5"/>
      <c r="N17" s="57">
        <v>1</v>
      </c>
      <c r="O17" s="36"/>
    </row>
    <row r="18" spans="2:15" x14ac:dyDescent="0.25">
      <c r="B18" s="10" t="s">
        <v>13</v>
      </c>
      <c r="C18" s="11">
        <v>2025</v>
      </c>
      <c r="D18" s="5">
        <v>1</v>
      </c>
      <c r="E18" s="5">
        <v>1</v>
      </c>
      <c r="F18" s="5"/>
      <c r="G18" s="15"/>
      <c r="I18" s="34" t="s">
        <v>30</v>
      </c>
      <c r="J18" s="35" t="s">
        <v>36</v>
      </c>
      <c r="K18" s="31">
        <v>4</v>
      </c>
      <c r="L18" s="7">
        <v>1</v>
      </c>
      <c r="M18" s="44">
        <v>1</v>
      </c>
      <c r="N18" s="58"/>
      <c r="O18" s="36"/>
    </row>
    <row r="19" spans="2:15" x14ac:dyDescent="0.25">
      <c r="B19" s="10" t="s">
        <v>6</v>
      </c>
      <c r="C19" s="11">
        <v>2025</v>
      </c>
      <c r="D19" s="5">
        <v>1</v>
      </c>
      <c r="E19" s="5"/>
      <c r="F19" s="5">
        <v>1</v>
      </c>
      <c r="G19" s="15">
        <v>8</v>
      </c>
      <c r="I19" s="36"/>
      <c r="J19" s="36"/>
      <c r="K19" s="36"/>
      <c r="L19" s="36"/>
      <c r="M19" s="36"/>
      <c r="N19" s="36"/>
      <c r="O19" s="36"/>
    </row>
    <row r="20" spans="2:15" x14ac:dyDescent="0.25">
      <c r="B20" s="10" t="s">
        <v>17</v>
      </c>
      <c r="C20" s="11">
        <v>2025</v>
      </c>
      <c r="D20" s="5">
        <v>2</v>
      </c>
      <c r="E20" s="5"/>
      <c r="F20" s="5">
        <v>2</v>
      </c>
      <c r="G20" s="15">
        <v>41</v>
      </c>
      <c r="I20" s="36"/>
      <c r="J20" s="36"/>
      <c r="K20" s="36"/>
      <c r="L20" s="36"/>
      <c r="M20" s="36"/>
      <c r="N20" s="36"/>
      <c r="O20" s="36"/>
    </row>
    <row r="21" spans="2:15" x14ac:dyDescent="0.25">
      <c r="B21" s="10" t="s">
        <v>11</v>
      </c>
      <c r="C21" s="11">
        <v>2025</v>
      </c>
      <c r="D21" s="5">
        <v>2</v>
      </c>
      <c r="E21" s="5"/>
      <c r="F21" s="5">
        <v>2</v>
      </c>
      <c r="G21" s="15">
        <v>134</v>
      </c>
      <c r="I21" s="36"/>
      <c r="J21" s="36"/>
      <c r="K21" s="36"/>
      <c r="L21" s="36"/>
      <c r="M21" s="36"/>
      <c r="N21" s="36"/>
      <c r="O21" s="36"/>
    </row>
    <row r="22" spans="2:15" x14ac:dyDescent="0.25">
      <c r="B22" s="42" t="s">
        <v>102</v>
      </c>
      <c r="C22" s="43">
        <v>2025</v>
      </c>
      <c r="D22" s="44">
        <v>1</v>
      </c>
      <c r="E22" s="44"/>
      <c r="F22" s="44">
        <v>1</v>
      </c>
      <c r="G22" s="45">
        <v>23</v>
      </c>
      <c r="I22" s="36"/>
      <c r="J22" s="36"/>
      <c r="K22" s="36"/>
      <c r="L22" s="36"/>
      <c r="M22" s="36"/>
      <c r="N22" s="36"/>
      <c r="O22" s="36"/>
    </row>
    <row r="23" spans="2:15" x14ac:dyDescent="0.25">
      <c r="B23" s="46" t="s">
        <v>11</v>
      </c>
      <c r="C23" s="47">
        <v>2026</v>
      </c>
      <c r="D23" s="48">
        <v>4</v>
      </c>
      <c r="E23" s="48">
        <v>1</v>
      </c>
      <c r="F23" s="48">
        <v>3</v>
      </c>
      <c r="G23" s="49">
        <v>92</v>
      </c>
      <c r="I23" s="36"/>
      <c r="J23" s="36"/>
      <c r="K23" s="36"/>
      <c r="L23" s="36"/>
      <c r="M23" s="36"/>
      <c r="N23" s="36"/>
      <c r="O23" s="36"/>
    </row>
    <row r="24" spans="2:15" x14ac:dyDescent="0.25">
      <c r="B24" s="46" t="s">
        <v>17</v>
      </c>
      <c r="C24" s="47">
        <v>2026</v>
      </c>
      <c r="D24" s="48">
        <v>3</v>
      </c>
      <c r="E24" s="48">
        <v>2</v>
      </c>
      <c r="F24" s="48">
        <v>1</v>
      </c>
      <c r="G24" s="49">
        <v>4</v>
      </c>
      <c r="I24" s="36"/>
      <c r="J24" s="36"/>
      <c r="K24" s="36"/>
      <c r="L24" s="36"/>
      <c r="M24" s="36"/>
      <c r="N24" s="36"/>
      <c r="O24" s="36"/>
    </row>
    <row r="25" spans="2:15" x14ac:dyDescent="0.25">
      <c r="B25" s="46" t="s">
        <v>8</v>
      </c>
      <c r="C25" s="47">
        <v>2026</v>
      </c>
      <c r="D25" s="48">
        <v>1</v>
      </c>
      <c r="E25" s="48">
        <v>1</v>
      </c>
      <c r="F25" s="48"/>
      <c r="G25" s="49"/>
      <c r="I25" s="36"/>
      <c r="J25" s="36"/>
      <c r="K25" s="36"/>
      <c r="L25" s="36"/>
      <c r="M25" s="36"/>
      <c r="N25" s="36"/>
      <c r="O25" s="36"/>
    </row>
    <row r="26" spans="2:15" x14ac:dyDescent="0.25">
      <c r="B26" s="46" t="s">
        <v>10</v>
      </c>
      <c r="C26" s="47">
        <v>2026</v>
      </c>
      <c r="D26" s="48">
        <v>1</v>
      </c>
      <c r="E26" s="48">
        <v>1</v>
      </c>
      <c r="F26" s="48"/>
      <c r="G26" s="49"/>
      <c r="I26" s="36"/>
      <c r="J26" s="36"/>
      <c r="K26" s="36"/>
      <c r="L26" s="36"/>
      <c r="M26" s="36"/>
      <c r="N26" s="36"/>
      <c r="O26" s="36"/>
    </row>
    <row r="27" spans="2:15" x14ac:dyDescent="0.25">
      <c r="B27" s="50" t="s">
        <v>126</v>
      </c>
      <c r="C27" s="47">
        <v>2026</v>
      </c>
      <c r="D27" s="51">
        <v>1</v>
      </c>
      <c r="E27" s="51"/>
      <c r="F27" s="51">
        <v>1</v>
      </c>
      <c r="G27" s="52">
        <v>11</v>
      </c>
      <c r="I27" s="36"/>
      <c r="J27" s="36"/>
      <c r="K27" s="36"/>
      <c r="L27" s="36"/>
      <c r="M27" s="36"/>
      <c r="N27" s="36"/>
      <c r="O27" s="36"/>
    </row>
    <row r="28" spans="2:15" x14ac:dyDescent="0.25">
      <c r="B28" s="36"/>
      <c r="C28" s="36"/>
      <c r="D28" s="36"/>
      <c r="E28" s="36"/>
      <c r="F28" s="36"/>
      <c r="G28" s="36"/>
      <c r="I28" s="36"/>
      <c r="J28" s="36"/>
      <c r="K28" s="36"/>
      <c r="L28" s="36"/>
      <c r="M28" s="36"/>
      <c r="N28" s="36"/>
      <c r="O28" s="36"/>
    </row>
    <row r="29" spans="2:15" x14ac:dyDescent="0.25">
      <c r="B29" s="36"/>
      <c r="C29" s="36"/>
      <c r="D29" s="36"/>
      <c r="E29" s="36"/>
      <c r="F29" s="36"/>
      <c r="G29" s="36"/>
      <c r="I29" s="36"/>
      <c r="J29" s="36"/>
      <c r="K29" s="36"/>
      <c r="L29" s="36"/>
      <c r="M29" s="36"/>
      <c r="N29" s="36"/>
      <c r="O29" s="36"/>
    </row>
    <row r="30" spans="2:15" x14ac:dyDescent="0.25">
      <c r="B30" s="36"/>
      <c r="C30" s="36"/>
      <c r="D30" s="36"/>
      <c r="E30" s="36"/>
      <c r="F30" s="36"/>
      <c r="G30" s="36"/>
      <c r="I30" s="36"/>
      <c r="J30" s="36"/>
      <c r="K30" s="36"/>
      <c r="L30" s="36"/>
      <c r="M30" s="36"/>
      <c r="N30" s="36"/>
      <c r="O30" s="36"/>
    </row>
    <row r="31" spans="2:15" x14ac:dyDescent="0.25">
      <c r="B31" s="36"/>
      <c r="C31" s="36"/>
      <c r="D31" s="36"/>
      <c r="E31" s="36"/>
      <c r="F31" s="36"/>
      <c r="G31" s="36"/>
      <c r="I31" s="36"/>
      <c r="J31" s="36"/>
      <c r="K31" s="36"/>
      <c r="L31" s="36"/>
      <c r="M31" s="36"/>
      <c r="N31" s="36"/>
      <c r="O31" s="36"/>
    </row>
    <row r="32" spans="2:15" x14ac:dyDescent="0.25">
      <c r="B32" s="36"/>
      <c r="C32" s="36"/>
      <c r="D32" s="36"/>
      <c r="E32" s="36"/>
      <c r="F32" s="36"/>
      <c r="G32" s="36"/>
      <c r="I32" s="36"/>
      <c r="J32" s="36"/>
      <c r="K32" s="36"/>
      <c r="L32" s="36"/>
      <c r="M32" s="36"/>
      <c r="N32" s="36"/>
      <c r="O32" s="36"/>
    </row>
    <row r="33" spans="2:15" x14ac:dyDescent="0.25">
      <c r="B33" s="36"/>
      <c r="C33" s="36"/>
      <c r="D33" s="36"/>
      <c r="E33" s="36"/>
      <c r="F33" s="36"/>
      <c r="G33" s="36"/>
      <c r="I33" s="36"/>
      <c r="J33" s="36"/>
      <c r="K33" s="36"/>
      <c r="L33" s="36"/>
      <c r="M33" s="36"/>
      <c r="N33" s="36"/>
      <c r="O33" s="36"/>
    </row>
    <row r="34" spans="2:15" x14ac:dyDescent="0.25">
      <c r="B34" s="36"/>
      <c r="C34" s="36"/>
      <c r="D34" s="36"/>
      <c r="E34" s="36"/>
      <c r="F34" s="36"/>
      <c r="G34" s="36"/>
      <c r="I34" s="36"/>
      <c r="J34" s="36"/>
      <c r="K34" s="36"/>
      <c r="L34" s="36"/>
      <c r="M34" s="36"/>
      <c r="N34" s="36"/>
      <c r="O34" s="36"/>
    </row>
    <row r="35" spans="2:15" x14ac:dyDescent="0.25">
      <c r="B35" s="36"/>
      <c r="C35" s="36"/>
      <c r="D35" s="36"/>
      <c r="E35" s="36"/>
      <c r="F35" s="36"/>
      <c r="G35" s="36"/>
      <c r="I35" s="36"/>
      <c r="J35" s="36"/>
      <c r="K35" s="36"/>
      <c r="L35" s="36"/>
      <c r="M35" s="36"/>
      <c r="N35" s="36"/>
      <c r="O35" s="36"/>
    </row>
    <row r="36" spans="2:15" x14ac:dyDescent="0.25">
      <c r="B36" s="36"/>
      <c r="C36" s="36"/>
      <c r="D36" s="36"/>
      <c r="E36" s="36"/>
      <c r="F36" s="36"/>
      <c r="G36" s="36"/>
      <c r="I36" s="36"/>
      <c r="J36" s="36"/>
      <c r="K36" s="36"/>
      <c r="L36" s="36"/>
      <c r="M36" s="36"/>
      <c r="N36" s="36"/>
      <c r="O36" s="36"/>
    </row>
    <row r="37" spans="2:15" x14ac:dyDescent="0.25">
      <c r="B37" s="36"/>
      <c r="C37" s="36"/>
      <c r="D37" s="36"/>
      <c r="E37" s="36"/>
      <c r="F37" s="36"/>
      <c r="G37" s="36"/>
      <c r="I37" s="36"/>
      <c r="J37" s="36"/>
      <c r="K37" s="36"/>
      <c r="L37" s="36"/>
      <c r="M37" s="36"/>
      <c r="N37" s="36"/>
      <c r="O37" s="36"/>
    </row>
    <row r="38" spans="2:15" x14ac:dyDescent="0.25">
      <c r="B38" s="36"/>
      <c r="C38" s="36"/>
      <c r="D38" s="36"/>
      <c r="E38" s="36"/>
      <c r="F38" s="36"/>
      <c r="G38" s="36"/>
      <c r="I38" s="36"/>
      <c r="J38" s="36"/>
      <c r="K38" s="36"/>
      <c r="L38" s="36"/>
      <c r="M38" s="36"/>
      <c r="N38" s="36"/>
      <c r="O38" s="36"/>
    </row>
    <row r="39" spans="2:15" x14ac:dyDescent="0.25">
      <c r="B39" s="36"/>
      <c r="C39" s="36"/>
      <c r="D39" s="36"/>
      <c r="E39" s="36"/>
      <c r="F39" s="36"/>
      <c r="G39" s="36"/>
      <c r="I39" s="36"/>
      <c r="J39" s="36"/>
      <c r="K39" s="36"/>
      <c r="L39" s="36"/>
      <c r="M39" s="36"/>
      <c r="N39" s="36"/>
      <c r="O39" s="36"/>
    </row>
    <row r="40" spans="2:15" x14ac:dyDescent="0.25">
      <c r="B40" s="36"/>
      <c r="C40" s="36"/>
      <c r="D40" s="36"/>
      <c r="E40" s="36"/>
      <c r="F40" s="36"/>
      <c r="G40" s="36"/>
      <c r="I40" s="36"/>
      <c r="J40" s="36"/>
      <c r="K40" s="36"/>
      <c r="L40" s="36"/>
      <c r="M40" s="36"/>
      <c r="N40" s="36"/>
      <c r="O40" s="36"/>
    </row>
    <row r="41" spans="2:15" x14ac:dyDescent="0.25">
      <c r="B41" s="36"/>
      <c r="C41" s="36"/>
      <c r="D41" s="36"/>
      <c r="E41" s="36"/>
      <c r="F41" s="36"/>
      <c r="G41" s="36"/>
      <c r="I41" s="36"/>
      <c r="J41" s="36"/>
      <c r="K41" s="36"/>
      <c r="L41" s="36"/>
      <c r="M41" s="36"/>
      <c r="N41" s="36"/>
      <c r="O41" s="36"/>
    </row>
    <row r="42" spans="2:15" x14ac:dyDescent="0.25">
      <c r="B42" s="36"/>
      <c r="C42" s="36"/>
      <c r="D42" s="36"/>
      <c r="E42" s="36"/>
      <c r="F42" s="36"/>
      <c r="G42" s="36"/>
      <c r="I42" s="36"/>
      <c r="J42" s="36"/>
      <c r="K42" s="36"/>
      <c r="L42" s="36"/>
      <c r="M42" s="36"/>
      <c r="N42" s="36"/>
      <c r="O42" s="36"/>
    </row>
    <row r="43" spans="2:15" x14ac:dyDescent="0.25">
      <c r="B43" s="36"/>
      <c r="C43" s="36"/>
      <c r="D43" s="36"/>
      <c r="E43" s="36"/>
      <c r="F43" s="36"/>
      <c r="G43" s="36"/>
      <c r="I43" s="36"/>
      <c r="J43" s="36"/>
      <c r="K43" s="36"/>
      <c r="L43" s="36"/>
      <c r="M43" s="36"/>
      <c r="N43" s="36"/>
      <c r="O43" s="36"/>
    </row>
    <row r="44" spans="2:15" x14ac:dyDescent="0.25">
      <c r="B44" s="36"/>
      <c r="C44" s="36"/>
      <c r="D44" s="36"/>
      <c r="E44" s="36"/>
      <c r="F44" s="36"/>
      <c r="G44" s="36"/>
      <c r="I44" s="36"/>
      <c r="J44" s="36"/>
      <c r="K44" s="36"/>
      <c r="L44" s="36"/>
      <c r="M44" s="36"/>
      <c r="N44" s="36"/>
      <c r="O44" s="36"/>
    </row>
    <row r="45" spans="2:15" x14ac:dyDescent="0.25">
      <c r="B45" s="36"/>
      <c r="C45" s="36"/>
      <c r="D45" s="36"/>
      <c r="E45" s="36"/>
      <c r="F45" s="36"/>
      <c r="G45" s="36"/>
      <c r="I45" s="36"/>
      <c r="J45" s="36"/>
      <c r="K45" s="36"/>
      <c r="L45" s="36"/>
      <c r="M45" s="36"/>
      <c r="N45" s="36"/>
      <c r="O45" s="36"/>
    </row>
    <row r="46" spans="2:15" x14ac:dyDescent="0.25">
      <c r="B46" s="36"/>
      <c r="C46" s="36"/>
      <c r="D46" s="36"/>
      <c r="E46" s="36"/>
      <c r="F46" s="36"/>
      <c r="G46" s="36"/>
      <c r="I46" s="36"/>
      <c r="J46" s="36"/>
      <c r="K46" s="36"/>
      <c r="L46" s="36"/>
      <c r="M46" s="36"/>
      <c r="N46" s="36"/>
      <c r="O46" s="36"/>
    </row>
    <row r="47" spans="2:15" x14ac:dyDescent="0.25">
      <c r="B47" s="36"/>
      <c r="C47" s="36"/>
      <c r="D47" s="36"/>
      <c r="E47" s="36"/>
      <c r="F47" s="36"/>
      <c r="G47" s="36"/>
      <c r="I47" s="36"/>
      <c r="J47" s="36"/>
      <c r="K47" s="36"/>
      <c r="L47" s="36"/>
      <c r="M47" s="36"/>
      <c r="N47" s="36"/>
      <c r="O47" s="36"/>
    </row>
    <row r="48" spans="2:15" x14ac:dyDescent="0.25">
      <c r="B48" s="36"/>
      <c r="C48" s="36"/>
      <c r="D48" s="36"/>
      <c r="E48" s="36"/>
      <c r="F48" s="36"/>
      <c r="G48" s="36"/>
      <c r="I48" s="36"/>
      <c r="J48" s="36"/>
      <c r="K48" s="36"/>
      <c r="L48" s="36"/>
      <c r="M48" s="36"/>
      <c r="N48" s="36"/>
      <c r="O48" s="36"/>
    </row>
    <row r="49" spans="2:15" x14ac:dyDescent="0.25">
      <c r="B49" s="36"/>
      <c r="C49" s="36"/>
      <c r="D49" s="36"/>
      <c r="E49" s="36"/>
      <c r="F49" s="36"/>
      <c r="G49" s="36"/>
      <c r="I49" s="36"/>
      <c r="J49" s="36"/>
      <c r="K49" s="36"/>
      <c r="L49" s="36"/>
      <c r="M49" s="36"/>
      <c r="N49" s="36"/>
      <c r="O49" s="36"/>
    </row>
    <row r="50" spans="2:15" x14ac:dyDescent="0.25">
      <c r="B50" s="36"/>
      <c r="C50" s="36"/>
      <c r="D50" s="36"/>
      <c r="E50" s="36"/>
      <c r="F50" s="36"/>
      <c r="G50" s="36"/>
      <c r="I50" s="36"/>
      <c r="J50" s="36"/>
      <c r="K50" s="36"/>
      <c r="L50" s="36"/>
      <c r="M50" s="36"/>
      <c r="N50" s="36"/>
      <c r="O50" s="36"/>
    </row>
    <row r="51" spans="2:15" x14ac:dyDescent="0.25">
      <c r="B51" s="36"/>
      <c r="C51" s="36"/>
      <c r="D51" s="36"/>
      <c r="E51" s="36"/>
      <c r="F51" s="36"/>
      <c r="G51" s="36"/>
      <c r="I51" s="36"/>
      <c r="J51" s="36"/>
      <c r="K51" s="36"/>
      <c r="L51" s="36"/>
      <c r="M51" s="36"/>
      <c r="N51" s="36"/>
      <c r="O51" s="36"/>
    </row>
    <row r="52" spans="2:15" x14ac:dyDescent="0.25">
      <c r="C52" s="36"/>
      <c r="D52" s="36"/>
      <c r="E52" s="36"/>
      <c r="F52" s="36"/>
      <c r="G52" s="36"/>
      <c r="I52" s="36"/>
      <c r="J52" s="36"/>
      <c r="K52" s="36"/>
      <c r="L52" s="36"/>
      <c r="M52" s="36"/>
      <c r="N52" s="36"/>
      <c r="O52" s="36"/>
    </row>
    <row r="53" spans="2:15" x14ac:dyDescent="0.25">
      <c r="C53" s="36"/>
      <c r="D53" s="36"/>
      <c r="E53" s="36"/>
      <c r="F53" s="36"/>
      <c r="G53" s="36"/>
      <c r="I53" s="36"/>
      <c r="J53" s="36"/>
      <c r="K53" s="36"/>
      <c r="L53" s="36"/>
      <c r="M53" s="36"/>
      <c r="N53" s="36"/>
      <c r="O53" s="36"/>
    </row>
    <row r="54" spans="2:15" x14ac:dyDescent="0.25">
      <c r="C54" s="36"/>
      <c r="D54" s="36"/>
      <c r="E54" s="36"/>
      <c r="F54" s="36"/>
      <c r="G54" s="36"/>
      <c r="I54" s="36"/>
      <c r="J54" s="36"/>
      <c r="K54" s="36"/>
      <c r="L54" s="36"/>
      <c r="M54" s="36"/>
      <c r="N54" s="36"/>
      <c r="O54" s="36"/>
    </row>
    <row r="55" spans="2:15" x14ac:dyDescent="0.25">
      <c r="C55" s="36"/>
      <c r="D55" s="36"/>
      <c r="E55" s="36"/>
      <c r="F55" s="36"/>
      <c r="G55" s="36"/>
      <c r="I55" s="36"/>
      <c r="J55" s="36"/>
      <c r="K55" s="36"/>
      <c r="L55" s="36"/>
      <c r="M55" s="36"/>
      <c r="N55" s="36"/>
      <c r="O55" s="36"/>
    </row>
    <row r="56" spans="2:15" x14ac:dyDescent="0.25">
      <c r="C56" s="36"/>
      <c r="D56" s="36"/>
      <c r="E56" s="36"/>
      <c r="F56" s="36"/>
      <c r="G56" s="36"/>
      <c r="I56" s="36"/>
      <c r="J56" s="36"/>
      <c r="K56" s="36"/>
      <c r="L56" s="36"/>
      <c r="M56" s="36"/>
      <c r="N56" s="36"/>
      <c r="O56" s="36"/>
    </row>
    <row r="57" spans="2:15" x14ac:dyDescent="0.25">
      <c r="C57" s="36"/>
      <c r="D57" s="36"/>
      <c r="E57" s="36"/>
      <c r="F57" s="36"/>
      <c r="G57" s="36"/>
      <c r="I57" s="36"/>
      <c r="J57" s="36"/>
      <c r="K57" s="36"/>
      <c r="L57" s="36"/>
      <c r="M57" s="36"/>
      <c r="N57" s="36"/>
      <c r="O57" s="36"/>
    </row>
    <row r="58" spans="2:15" x14ac:dyDescent="0.25">
      <c r="C58" s="36"/>
      <c r="D58" s="36"/>
      <c r="E58" s="36"/>
      <c r="F58" s="36"/>
      <c r="G58" s="36"/>
      <c r="I58" s="36"/>
      <c r="J58" s="36"/>
      <c r="K58" s="36"/>
      <c r="L58" s="36"/>
      <c r="M58" s="36"/>
      <c r="N58" s="36"/>
      <c r="O58" s="36"/>
    </row>
    <row r="59" spans="2:15" x14ac:dyDescent="0.25">
      <c r="C59" s="36"/>
      <c r="D59" s="36"/>
      <c r="E59" s="36"/>
      <c r="F59" s="36"/>
      <c r="G59" s="36"/>
      <c r="I59" s="36"/>
      <c r="J59" s="36"/>
      <c r="K59" s="36"/>
      <c r="L59" s="36"/>
      <c r="M59" s="36"/>
      <c r="N59" s="36"/>
      <c r="O59" s="36"/>
    </row>
    <row r="60" spans="2:15" x14ac:dyDescent="0.25">
      <c r="C60" s="36"/>
      <c r="D60" s="36"/>
      <c r="E60" s="36"/>
      <c r="F60" s="36"/>
      <c r="G60" s="36"/>
      <c r="I60" s="36"/>
      <c r="J60" s="36"/>
      <c r="K60" s="36"/>
      <c r="L60" s="36"/>
      <c r="M60" s="36"/>
      <c r="N60" s="36"/>
      <c r="O60" s="36"/>
    </row>
    <row r="61" spans="2:15" x14ac:dyDescent="0.25">
      <c r="C61" s="36"/>
      <c r="D61" s="36"/>
      <c r="E61" s="36"/>
      <c r="F61" s="36"/>
      <c r="G61" s="36"/>
      <c r="I61" s="36"/>
      <c r="J61" s="36"/>
      <c r="K61" s="36"/>
      <c r="L61" s="36"/>
      <c r="M61" s="36"/>
      <c r="N61" s="36"/>
      <c r="O61" s="36"/>
    </row>
    <row r="62" spans="2:15" x14ac:dyDescent="0.25">
      <c r="C62" s="36"/>
      <c r="D62" s="36"/>
      <c r="E62" s="36"/>
      <c r="F62" s="36"/>
      <c r="G62" s="36"/>
      <c r="I62" s="36"/>
      <c r="J62" s="36"/>
      <c r="K62" s="36"/>
      <c r="L62" s="36"/>
      <c r="M62" s="36"/>
      <c r="N62" s="36"/>
      <c r="O62" s="36"/>
    </row>
    <row r="63" spans="2:15" x14ac:dyDescent="0.25">
      <c r="C63" s="36"/>
      <c r="D63" s="36"/>
      <c r="E63" s="36"/>
      <c r="F63" s="36"/>
      <c r="G63" s="36"/>
      <c r="I63" s="36"/>
      <c r="J63" s="36"/>
      <c r="K63" s="36"/>
      <c r="L63" s="36"/>
      <c r="M63" s="36"/>
      <c r="N63" s="36"/>
      <c r="O63" s="36"/>
    </row>
    <row r="64" spans="2:15" x14ac:dyDescent="0.25">
      <c r="C64" s="36"/>
      <c r="D64" s="36"/>
      <c r="E64" s="36"/>
      <c r="F64" s="36"/>
      <c r="G64" s="36"/>
      <c r="I64" s="36"/>
      <c r="J64" s="36"/>
      <c r="K64" s="36"/>
      <c r="L64" s="36"/>
      <c r="M64" s="36"/>
      <c r="N64" s="36"/>
      <c r="O64" s="36"/>
    </row>
    <row r="65" spans="3:15" x14ac:dyDescent="0.25">
      <c r="C65" s="36"/>
      <c r="D65" s="36"/>
      <c r="E65" s="36"/>
      <c r="F65" s="36"/>
      <c r="G65" s="36"/>
      <c r="I65" s="36"/>
      <c r="J65" s="36"/>
      <c r="K65" s="36"/>
      <c r="L65" s="36"/>
      <c r="M65" s="36"/>
      <c r="N65" s="36"/>
      <c r="O65" s="36"/>
    </row>
    <row r="66" spans="3:15" x14ac:dyDescent="0.25">
      <c r="C66" s="36"/>
      <c r="D66" s="36"/>
      <c r="E66" s="36"/>
      <c r="F66" s="36"/>
      <c r="G66" s="36"/>
      <c r="I66" s="36"/>
      <c r="J66" s="36"/>
      <c r="K66" s="36"/>
      <c r="L66" s="36"/>
      <c r="M66" s="36"/>
      <c r="N66" s="36"/>
      <c r="O66" s="36"/>
    </row>
    <row r="67" spans="3:15" x14ac:dyDescent="0.25">
      <c r="C67" s="36"/>
      <c r="D67" s="36"/>
      <c r="E67" s="36"/>
      <c r="F67" s="36"/>
      <c r="G67" s="36"/>
      <c r="I67" s="36"/>
      <c r="J67" s="36"/>
      <c r="K67" s="36"/>
      <c r="L67" s="36"/>
      <c r="M67" s="36"/>
      <c r="N67" s="36"/>
      <c r="O67" s="36"/>
    </row>
    <row r="68" spans="3:15" x14ac:dyDescent="0.25">
      <c r="C68" s="36"/>
      <c r="D68" s="36"/>
      <c r="E68" s="36"/>
      <c r="F68" s="36"/>
      <c r="G68" s="36"/>
      <c r="I68" s="36"/>
      <c r="J68" s="36"/>
      <c r="K68" s="36"/>
      <c r="L68" s="36"/>
      <c r="M68" s="36"/>
      <c r="N68" s="36"/>
      <c r="O68" s="36"/>
    </row>
    <row r="69" spans="3:15" x14ac:dyDescent="0.25">
      <c r="C69" s="36"/>
      <c r="D69" s="36"/>
      <c r="E69" s="36"/>
      <c r="F69" s="36"/>
      <c r="G69" s="36"/>
      <c r="I69" s="36"/>
      <c r="J69" s="36"/>
      <c r="K69" s="36"/>
      <c r="L69" s="36"/>
      <c r="M69" s="36"/>
      <c r="N69" s="36"/>
      <c r="O69" s="36"/>
    </row>
    <row r="70" spans="3:15" x14ac:dyDescent="0.25">
      <c r="C70" s="36"/>
      <c r="D70" s="36"/>
      <c r="E70" s="36"/>
      <c r="F70" s="36"/>
      <c r="G70" s="36"/>
      <c r="I70" s="36"/>
      <c r="J70" s="36"/>
      <c r="K70" s="36"/>
      <c r="L70" s="36"/>
      <c r="M70" s="36"/>
      <c r="N70" s="36"/>
      <c r="O70" s="36"/>
    </row>
    <row r="71" spans="3:15" x14ac:dyDescent="0.25">
      <c r="C71" s="36"/>
      <c r="D71" s="36"/>
      <c r="E71" s="36"/>
      <c r="F71" s="36"/>
      <c r="G71" s="36"/>
      <c r="I71" s="36"/>
      <c r="J71" s="36"/>
      <c r="K71" s="36"/>
      <c r="L71" s="36"/>
      <c r="M71" s="36"/>
      <c r="N71" s="36"/>
      <c r="O71" s="36"/>
    </row>
    <row r="72" spans="3:15" x14ac:dyDescent="0.25">
      <c r="C72" s="36"/>
      <c r="D72" s="36"/>
      <c r="E72" s="36"/>
      <c r="F72" s="36"/>
      <c r="G72" s="36"/>
      <c r="I72" s="36"/>
      <c r="J72" s="36"/>
      <c r="K72" s="36"/>
      <c r="L72" s="36"/>
      <c r="M72" s="36"/>
      <c r="N72" s="36"/>
      <c r="O72" s="36"/>
    </row>
    <row r="73" spans="3:15" x14ac:dyDescent="0.25">
      <c r="C73" s="36"/>
      <c r="D73" s="36"/>
      <c r="E73" s="36"/>
      <c r="F73" s="36"/>
      <c r="G73" s="36"/>
      <c r="I73" s="36"/>
      <c r="J73" s="36"/>
      <c r="K73" s="36"/>
      <c r="L73" s="36"/>
      <c r="M73" s="36"/>
      <c r="N73" s="36"/>
      <c r="O73" s="36"/>
    </row>
    <row r="74" spans="3:15" x14ac:dyDescent="0.25">
      <c r="C74" s="36"/>
      <c r="D74" s="36"/>
      <c r="E74" s="36"/>
      <c r="F74" s="36"/>
      <c r="G74" s="36"/>
      <c r="I74" s="36"/>
      <c r="J74" s="36"/>
      <c r="K74" s="36"/>
      <c r="L74" s="36"/>
      <c r="M74" s="36"/>
      <c r="N74" s="36"/>
      <c r="O74" s="36"/>
    </row>
    <row r="75" spans="3:15" x14ac:dyDescent="0.25">
      <c r="C75" s="36"/>
      <c r="D75" s="36"/>
      <c r="E75" s="36"/>
      <c r="F75" s="36"/>
      <c r="G75" s="36"/>
      <c r="I75" s="36"/>
      <c r="J75" s="36"/>
      <c r="K75" s="36"/>
      <c r="L75" s="36"/>
      <c r="M75" s="36"/>
      <c r="N75" s="36"/>
      <c r="O75" s="36"/>
    </row>
    <row r="76" spans="3:15" x14ac:dyDescent="0.25">
      <c r="C76" s="36"/>
      <c r="D76" s="36"/>
      <c r="E76" s="36"/>
      <c r="F76" s="36"/>
      <c r="G76" s="36"/>
      <c r="I76" s="36"/>
      <c r="J76" s="36"/>
      <c r="K76" s="36"/>
      <c r="L76" s="36"/>
      <c r="M76" s="36"/>
      <c r="N76" s="36"/>
      <c r="O76" s="36"/>
    </row>
    <row r="77" spans="3:15" x14ac:dyDescent="0.25">
      <c r="C77" s="36"/>
      <c r="D77" s="36"/>
      <c r="E77" s="36"/>
      <c r="F77" s="36"/>
      <c r="G77" s="36"/>
      <c r="I77" s="36"/>
      <c r="J77" s="36"/>
      <c r="K77" s="36"/>
      <c r="L77" s="36"/>
      <c r="M77" s="36"/>
      <c r="N77" s="36"/>
      <c r="O77" s="36"/>
    </row>
    <row r="78" spans="3:15" x14ac:dyDescent="0.25">
      <c r="C78" s="36"/>
      <c r="D78" s="36"/>
      <c r="E78" s="36"/>
      <c r="F78" s="36"/>
      <c r="G78" s="36"/>
      <c r="I78" s="36"/>
      <c r="J78" s="36"/>
      <c r="K78" s="36"/>
      <c r="L78" s="36"/>
      <c r="M78" s="36"/>
      <c r="N78" s="36"/>
      <c r="O78" s="36"/>
    </row>
    <row r="79" spans="3:15" x14ac:dyDescent="0.25">
      <c r="C79" s="36"/>
      <c r="D79" s="36"/>
      <c r="E79" s="36"/>
      <c r="F79" s="36"/>
      <c r="G79" s="36"/>
      <c r="I79" s="36"/>
      <c r="J79" s="36"/>
      <c r="K79" s="36"/>
      <c r="L79" s="36"/>
      <c r="M79" s="36"/>
      <c r="N79" s="36"/>
      <c r="O79" s="36"/>
    </row>
    <row r="80" spans="3:15" x14ac:dyDescent="0.25">
      <c r="C80" s="36"/>
      <c r="D80" s="36"/>
      <c r="E80" s="36"/>
      <c r="F80" s="36"/>
      <c r="G80" s="36"/>
      <c r="I80" s="36"/>
      <c r="J80" s="36"/>
      <c r="K80" s="36"/>
      <c r="L80" s="36"/>
      <c r="M80" s="36"/>
      <c r="N80" s="36"/>
      <c r="O80" s="36"/>
    </row>
    <row r="81" spans="3:15" x14ac:dyDescent="0.25">
      <c r="C81" s="36"/>
      <c r="D81" s="36"/>
      <c r="E81" s="36"/>
      <c r="F81" s="36"/>
      <c r="G81" s="36"/>
      <c r="I81" s="36"/>
      <c r="J81" s="36"/>
      <c r="K81" s="36"/>
      <c r="L81" s="36"/>
      <c r="M81" s="36"/>
      <c r="N81" s="36"/>
      <c r="O81" s="36"/>
    </row>
    <row r="82" spans="3:15" x14ac:dyDescent="0.25">
      <c r="C82" s="36"/>
      <c r="D82" s="36"/>
      <c r="E82" s="36"/>
      <c r="F82" s="36"/>
      <c r="G82" s="36"/>
      <c r="I82" s="36"/>
      <c r="J82" s="36"/>
      <c r="K82" s="36"/>
      <c r="L82" s="36"/>
      <c r="M82" s="36"/>
      <c r="N82" s="36"/>
      <c r="O82" s="36"/>
    </row>
    <row r="83" spans="3:15" x14ac:dyDescent="0.25">
      <c r="C83" s="36"/>
      <c r="D83" s="36"/>
      <c r="E83" s="36"/>
      <c r="F83" s="36"/>
      <c r="G83" s="36"/>
      <c r="I83" s="36"/>
      <c r="J83" s="36"/>
      <c r="K83" s="36"/>
      <c r="L83" s="36"/>
      <c r="M83" s="36"/>
      <c r="N83" s="36"/>
      <c r="O83" s="36"/>
    </row>
  </sheetData>
  <mergeCells count="1">
    <mergeCell ref="I2:N2"/>
  </mergeCells>
  <phoneticPr fontId="5" type="noConversion"/>
  <pageMargins left="0.7" right="0.7" top="0.75" bottom="0.75" header="0.3" footer="0.3"/>
  <pageSetup paperSize="9" orientation="portrait" verticalDpi="0"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D6079-7F37-4076-9EFA-E8A7632A4538}">
  <dimension ref="A1:Y29"/>
  <sheetViews>
    <sheetView tabSelected="1" zoomScaleNormal="100" workbookViewId="0">
      <selection activeCell="E20" sqref="E20"/>
    </sheetView>
  </sheetViews>
  <sheetFormatPr baseColWidth="10" defaultRowHeight="15" x14ac:dyDescent="0.25"/>
  <cols>
    <col min="1" max="1" width="11.42578125" style="36"/>
    <col min="2" max="3" width="26.28515625" customWidth="1"/>
    <col min="4" max="4" width="19.85546875" customWidth="1"/>
    <col min="5" max="5" width="24.7109375" customWidth="1"/>
    <col min="7" max="7" width="65.5703125" customWidth="1"/>
    <col min="8" max="8" width="18.42578125" customWidth="1"/>
    <col min="10" max="10" width="13.85546875" customWidth="1"/>
    <col min="11" max="11" width="19.5703125" customWidth="1"/>
    <col min="12" max="12" width="16.42578125" customWidth="1"/>
    <col min="16" max="16" width="15.28515625" customWidth="1"/>
    <col min="17" max="25" width="11.42578125" style="36"/>
  </cols>
  <sheetData>
    <row r="1" spans="2:16" s="36" customFormat="1" x14ac:dyDescent="0.25"/>
    <row r="2" spans="2:16" x14ac:dyDescent="0.25">
      <c r="B2" t="s">
        <v>40</v>
      </c>
      <c r="C2" t="s">
        <v>41</v>
      </c>
      <c r="D2" t="s">
        <v>42</v>
      </c>
      <c r="E2" t="s">
        <v>43</v>
      </c>
      <c r="F2" t="s">
        <v>44</v>
      </c>
      <c r="G2" t="s">
        <v>45</v>
      </c>
      <c r="H2" t="s">
        <v>46</v>
      </c>
      <c r="I2" t="s">
        <v>47</v>
      </c>
      <c r="J2" t="s">
        <v>48</v>
      </c>
      <c r="K2" t="s">
        <v>49</v>
      </c>
      <c r="L2" t="s">
        <v>50</v>
      </c>
      <c r="M2" t="s">
        <v>51</v>
      </c>
      <c r="N2" t="s">
        <v>52</v>
      </c>
      <c r="O2" t="s">
        <v>53</v>
      </c>
      <c r="P2" t="s">
        <v>20</v>
      </c>
    </row>
    <row r="3" spans="2:16" ht="129" customHeight="1" x14ac:dyDescent="0.25">
      <c r="B3" s="40" t="s">
        <v>54</v>
      </c>
      <c r="C3" s="37" t="s">
        <v>81</v>
      </c>
      <c r="D3" s="37" t="s">
        <v>82</v>
      </c>
      <c r="E3" s="37" t="s">
        <v>55</v>
      </c>
      <c r="F3" s="38">
        <v>45674</v>
      </c>
      <c r="G3" s="37" t="s">
        <v>80</v>
      </c>
      <c r="H3" s="39" t="s">
        <v>83</v>
      </c>
      <c r="I3" s="39" t="s">
        <v>28</v>
      </c>
      <c r="J3" s="39" t="s">
        <v>84</v>
      </c>
      <c r="K3" s="39" t="s">
        <v>85</v>
      </c>
      <c r="L3" s="39" t="s">
        <v>61</v>
      </c>
      <c r="M3" s="39" t="s">
        <v>61</v>
      </c>
      <c r="N3" s="41">
        <v>45677</v>
      </c>
      <c r="O3" s="41">
        <v>45688</v>
      </c>
      <c r="P3" s="39">
        <v>12</v>
      </c>
    </row>
    <row r="4" spans="2:16" ht="60" x14ac:dyDescent="0.25">
      <c r="B4" s="37" t="s">
        <v>87</v>
      </c>
      <c r="C4" s="37" t="s">
        <v>88</v>
      </c>
      <c r="D4" s="37" t="s">
        <v>64</v>
      </c>
      <c r="E4" s="37" t="s">
        <v>65</v>
      </c>
      <c r="F4" s="38">
        <v>45786</v>
      </c>
      <c r="G4" s="37" t="s">
        <v>86</v>
      </c>
      <c r="H4" s="37" t="s">
        <v>6</v>
      </c>
      <c r="I4" s="37" t="s">
        <v>27</v>
      </c>
      <c r="J4" s="39" t="s">
        <v>84</v>
      </c>
      <c r="K4" s="37" t="s">
        <v>89</v>
      </c>
      <c r="L4" s="37" t="s">
        <v>61</v>
      </c>
      <c r="M4" s="37" t="s">
        <v>61</v>
      </c>
      <c r="N4" s="38">
        <v>45786</v>
      </c>
      <c r="O4" s="38">
        <v>45793</v>
      </c>
      <c r="P4" s="37">
        <v>8</v>
      </c>
    </row>
    <row r="5" spans="2:16" ht="80.25" customHeight="1" x14ac:dyDescent="0.25">
      <c r="B5" s="37" t="s">
        <v>56</v>
      </c>
      <c r="C5" s="37" t="s">
        <v>57</v>
      </c>
      <c r="D5" s="37" t="s">
        <v>58</v>
      </c>
      <c r="E5" s="37" t="s">
        <v>55</v>
      </c>
      <c r="F5" s="38">
        <v>45795</v>
      </c>
      <c r="G5" s="37" t="s">
        <v>91</v>
      </c>
      <c r="H5" s="37" t="s">
        <v>11</v>
      </c>
      <c r="I5" s="37" t="s">
        <v>30</v>
      </c>
      <c r="J5" s="37" t="s">
        <v>59</v>
      </c>
      <c r="K5" s="37" t="s">
        <v>60</v>
      </c>
      <c r="L5" s="37" t="s">
        <v>61</v>
      </c>
      <c r="M5" s="37" t="s">
        <v>61</v>
      </c>
      <c r="N5" s="38">
        <v>45800</v>
      </c>
      <c r="O5" s="38">
        <v>45915</v>
      </c>
      <c r="P5" s="37">
        <v>116</v>
      </c>
    </row>
    <row r="6" spans="2:16" ht="60" x14ac:dyDescent="0.25">
      <c r="B6" s="37" t="s">
        <v>62</v>
      </c>
      <c r="C6" s="37" t="s">
        <v>63</v>
      </c>
      <c r="D6" s="37" t="s">
        <v>64</v>
      </c>
      <c r="E6" s="37" t="s">
        <v>65</v>
      </c>
      <c r="F6" s="38">
        <v>45805</v>
      </c>
      <c r="G6" s="37" t="s">
        <v>66</v>
      </c>
      <c r="H6" s="37" t="s">
        <v>11</v>
      </c>
      <c r="I6" s="37" t="s">
        <v>28</v>
      </c>
      <c r="J6" s="37" t="s">
        <v>67</v>
      </c>
      <c r="K6" s="37" t="s">
        <v>68</v>
      </c>
      <c r="L6" s="37" t="s">
        <v>61</v>
      </c>
      <c r="M6" s="37" t="s">
        <v>61</v>
      </c>
      <c r="N6" s="38">
        <v>45811</v>
      </c>
      <c r="O6" s="38">
        <v>45828</v>
      </c>
      <c r="P6" s="37">
        <v>18</v>
      </c>
    </row>
    <row r="7" spans="2:16" ht="60" x14ac:dyDescent="0.25">
      <c r="B7" s="37" t="s">
        <v>69</v>
      </c>
      <c r="C7" s="37" t="s">
        <v>70</v>
      </c>
      <c r="D7" s="37" t="s">
        <v>64</v>
      </c>
      <c r="E7" s="37" t="s">
        <v>65</v>
      </c>
      <c r="F7" s="38">
        <v>45818</v>
      </c>
      <c r="G7" s="37" t="s">
        <v>71</v>
      </c>
      <c r="H7" s="37" t="s">
        <v>72</v>
      </c>
      <c r="I7" s="37" t="s">
        <v>26</v>
      </c>
      <c r="J7" s="37" t="s">
        <v>73</v>
      </c>
      <c r="K7" s="37" t="s">
        <v>74</v>
      </c>
      <c r="L7" s="37" t="s">
        <v>75</v>
      </c>
      <c r="M7" s="37" t="s">
        <v>76</v>
      </c>
      <c r="N7" s="38" t="s">
        <v>77</v>
      </c>
      <c r="O7" s="38" t="s">
        <v>77</v>
      </c>
      <c r="P7" s="37" t="s">
        <v>77</v>
      </c>
    </row>
    <row r="8" spans="2:16" ht="30" x14ac:dyDescent="0.25">
      <c r="B8" s="37" t="s">
        <v>56</v>
      </c>
      <c r="C8" s="37" t="s">
        <v>57</v>
      </c>
      <c r="D8" s="37" t="s">
        <v>58</v>
      </c>
      <c r="E8" s="37" t="s">
        <v>55</v>
      </c>
      <c r="F8" s="38">
        <v>45947</v>
      </c>
      <c r="G8" s="37" t="s">
        <v>90</v>
      </c>
      <c r="H8" s="37" t="s">
        <v>17</v>
      </c>
      <c r="I8" s="37" t="s">
        <v>28</v>
      </c>
      <c r="J8" s="37" t="s">
        <v>78</v>
      </c>
      <c r="K8" s="37" t="s">
        <v>79</v>
      </c>
      <c r="L8" s="37" t="s">
        <v>61</v>
      </c>
      <c r="M8" s="37" t="s">
        <v>61</v>
      </c>
      <c r="N8" s="38">
        <v>45947</v>
      </c>
      <c r="O8" s="38">
        <v>45975</v>
      </c>
      <c r="P8" s="37">
        <v>29</v>
      </c>
    </row>
    <row r="9" spans="2:16" s="36" customFormat="1" ht="64.5" customHeight="1" x14ac:dyDescent="0.25">
      <c r="B9" s="37" t="s">
        <v>92</v>
      </c>
      <c r="C9" s="37" t="s">
        <v>88</v>
      </c>
      <c r="D9" s="37" t="s">
        <v>93</v>
      </c>
      <c r="E9" s="37" t="s">
        <v>55</v>
      </c>
      <c r="F9" s="38">
        <v>46008</v>
      </c>
      <c r="G9" s="37" t="s">
        <v>94</v>
      </c>
      <c r="H9" s="37" t="s">
        <v>95</v>
      </c>
      <c r="I9" s="37" t="s">
        <v>28</v>
      </c>
      <c r="J9" s="37" t="s">
        <v>96</v>
      </c>
      <c r="K9" s="37" t="s">
        <v>97</v>
      </c>
      <c r="L9" s="37" t="s">
        <v>61</v>
      </c>
      <c r="M9" s="37" t="s">
        <v>61</v>
      </c>
      <c r="N9" s="38">
        <v>46009</v>
      </c>
      <c r="O9" s="38">
        <v>46031</v>
      </c>
      <c r="P9" s="37">
        <v>23</v>
      </c>
    </row>
    <row r="10" spans="2:16" s="36" customFormat="1" ht="90" x14ac:dyDescent="0.25">
      <c r="B10" s="37" t="s">
        <v>92</v>
      </c>
      <c r="C10" s="37" t="s">
        <v>88</v>
      </c>
      <c r="D10" s="37" t="s">
        <v>93</v>
      </c>
      <c r="E10" s="37" t="s">
        <v>55</v>
      </c>
      <c r="F10" s="38">
        <v>46036</v>
      </c>
      <c r="G10" s="37" t="s">
        <v>98</v>
      </c>
      <c r="H10" s="37" t="s">
        <v>17</v>
      </c>
      <c r="I10" s="37" t="s">
        <v>26</v>
      </c>
      <c r="J10" s="37" t="s">
        <v>78</v>
      </c>
      <c r="K10" s="37" t="s">
        <v>99</v>
      </c>
      <c r="L10" s="37" t="s">
        <v>100</v>
      </c>
      <c r="M10" s="37" t="s">
        <v>61</v>
      </c>
      <c r="N10" s="38" t="s">
        <v>101</v>
      </c>
      <c r="O10" s="38" t="s">
        <v>101</v>
      </c>
      <c r="P10" s="37" t="s">
        <v>101</v>
      </c>
    </row>
    <row r="11" spans="2:16" s="36" customFormat="1" ht="105" x14ac:dyDescent="0.25">
      <c r="B11" s="37" t="s">
        <v>104</v>
      </c>
      <c r="C11" s="37" t="s">
        <v>105</v>
      </c>
      <c r="D11" s="37" t="s">
        <v>93</v>
      </c>
      <c r="E11" s="37" t="s">
        <v>55</v>
      </c>
      <c r="F11" s="38">
        <v>46097</v>
      </c>
      <c r="G11" s="37" t="s">
        <v>106</v>
      </c>
      <c r="H11" s="37" t="s">
        <v>83</v>
      </c>
      <c r="I11" s="37" t="s">
        <v>26</v>
      </c>
      <c r="J11" s="37" t="s">
        <v>107</v>
      </c>
      <c r="K11" s="37" t="s">
        <v>108</v>
      </c>
      <c r="L11" s="37" t="s">
        <v>100</v>
      </c>
      <c r="M11" s="37" t="s">
        <v>61</v>
      </c>
      <c r="N11" s="38" t="s">
        <v>101</v>
      </c>
      <c r="O11" s="38" t="s">
        <v>101</v>
      </c>
      <c r="P11" s="37" t="s">
        <v>101</v>
      </c>
    </row>
    <row r="12" spans="2:16" s="36" customFormat="1" ht="30" x14ac:dyDescent="0.25">
      <c r="B12" s="37" t="s">
        <v>92</v>
      </c>
      <c r="C12" s="37" t="s">
        <v>88</v>
      </c>
      <c r="D12" s="37" t="s">
        <v>93</v>
      </c>
      <c r="E12" s="37" t="s">
        <v>109</v>
      </c>
      <c r="F12" s="38">
        <v>46094</v>
      </c>
      <c r="G12" s="37" t="s">
        <v>110</v>
      </c>
      <c r="H12" s="37" t="s">
        <v>111</v>
      </c>
      <c r="I12" s="37" t="s">
        <v>26</v>
      </c>
      <c r="J12" s="37" t="s">
        <v>112</v>
      </c>
      <c r="K12" s="37" t="s">
        <v>15</v>
      </c>
      <c r="L12" s="37" t="s">
        <v>100</v>
      </c>
      <c r="M12" s="37" t="s">
        <v>61</v>
      </c>
      <c r="N12" s="38" t="s">
        <v>101</v>
      </c>
      <c r="O12" s="38" t="s">
        <v>101</v>
      </c>
      <c r="P12" s="37" t="s">
        <v>101</v>
      </c>
    </row>
    <row r="13" spans="2:16" s="36" customFormat="1" ht="30" x14ac:dyDescent="0.25">
      <c r="B13" s="37" t="s">
        <v>92</v>
      </c>
      <c r="C13" s="37" t="s">
        <v>88</v>
      </c>
      <c r="D13" s="37" t="s">
        <v>93</v>
      </c>
      <c r="E13" s="37" t="s">
        <v>55</v>
      </c>
      <c r="F13" s="38">
        <v>46105</v>
      </c>
      <c r="G13" s="37" t="s">
        <v>113</v>
      </c>
      <c r="H13" s="37" t="s">
        <v>114</v>
      </c>
      <c r="I13" s="37" t="s">
        <v>29</v>
      </c>
      <c r="J13" s="37" t="s">
        <v>115</v>
      </c>
      <c r="K13" s="37" t="s">
        <v>89</v>
      </c>
      <c r="L13" s="37" t="s">
        <v>61</v>
      </c>
      <c r="M13" s="37" t="s">
        <v>61</v>
      </c>
      <c r="N13" s="38">
        <v>46105</v>
      </c>
      <c r="O13" s="38">
        <v>46165</v>
      </c>
      <c r="P13" s="37">
        <v>61</v>
      </c>
    </row>
    <row r="14" spans="2:16" s="36" customFormat="1" ht="45" x14ac:dyDescent="0.25">
      <c r="B14" s="37" t="s">
        <v>56</v>
      </c>
      <c r="C14" s="37" t="s">
        <v>57</v>
      </c>
      <c r="D14" s="37" t="s">
        <v>58</v>
      </c>
      <c r="E14" s="37" t="s">
        <v>55</v>
      </c>
      <c r="F14" s="38">
        <v>46132</v>
      </c>
      <c r="G14" s="37" t="s">
        <v>116</v>
      </c>
      <c r="H14" s="37" t="s">
        <v>114</v>
      </c>
      <c r="I14" s="37" t="s">
        <v>28</v>
      </c>
      <c r="J14" s="37" t="s">
        <v>117</v>
      </c>
      <c r="K14" s="37" t="s">
        <v>85</v>
      </c>
      <c r="L14" s="37" t="s">
        <v>118</v>
      </c>
      <c r="M14" s="37" t="s">
        <v>61</v>
      </c>
      <c r="N14" s="38">
        <v>46135</v>
      </c>
      <c r="O14" s="38">
        <v>46150</v>
      </c>
      <c r="P14" s="37">
        <f>Tableau4[[#This Row],[Fin]]-Tableau4[[#This Row],[Début]]</f>
        <v>15</v>
      </c>
    </row>
    <row r="15" spans="2:16" s="36" customFormat="1" ht="30" x14ac:dyDescent="0.25">
      <c r="B15" s="37" t="s">
        <v>56</v>
      </c>
      <c r="C15" s="37" t="s">
        <v>57</v>
      </c>
      <c r="D15" s="37" t="s">
        <v>58</v>
      </c>
      <c r="E15" s="37" t="s">
        <v>55</v>
      </c>
      <c r="F15" s="38">
        <v>46135</v>
      </c>
      <c r="G15" s="37" t="s">
        <v>119</v>
      </c>
      <c r="H15" s="37" t="s">
        <v>114</v>
      </c>
      <c r="I15" s="37" t="s">
        <v>26</v>
      </c>
      <c r="J15" s="37" t="s">
        <v>115</v>
      </c>
      <c r="K15" s="37" t="s">
        <v>89</v>
      </c>
      <c r="L15" s="37" t="s">
        <v>100</v>
      </c>
      <c r="M15" s="37" t="s">
        <v>61</v>
      </c>
      <c r="N15" s="38" t="s">
        <v>101</v>
      </c>
      <c r="O15" s="38" t="s">
        <v>101</v>
      </c>
      <c r="P15" s="37" t="s">
        <v>101</v>
      </c>
    </row>
    <row r="16" spans="2:16" s="36" customFormat="1" ht="45" x14ac:dyDescent="0.25">
      <c r="B16" s="37" t="s">
        <v>120</v>
      </c>
      <c r="C16" s="37" t="s">
        <v>88</v>
      </c>
      <c r="D16" s="37" t="s">
        <v>93</v>
      </c>
      <c r="E16" s="37" t="s">
        <v>55</v>
      </c>
      <c r="F16" s="38">
        <v>46226</v>
      </c>
      <c r="G16" s="37" t="s">
        <v>121</v>
      </c>
      <c r="H16" s="37" t="s">
        <v>10</v>
      </c>
      <c r="I16" s="37" t="s">
        <v>26</v>
      </c>
      <c r="J16" s="37" t="s">
        <v>122</v>
      </c>
      <c r="K16" s="37" t="s">
        <v>15</v>
      </c>
      <c r="L16" s="37" t="s">
        <v>100</v>
      </c>
      <c r="M16" s="37" t="s">
        <v>61</v>
      </c>
      <c r="N16" s="38" t="s">
        <v>101</v>
      </c>
      <c r="O16" s="38" t="s">
        <v>101</v>
      </c>
      <c r="P16" s="37" t="s">
        <v>101</v>
      </c>
    </row>
    <row r="17" spans="2:16" s="36" customFormat="1" ht="30" x14ac:dyDescent="0.25">
      <c r="B17" s="37" t="s">
        <v>92</v>
      </c>
      <c r="C17" s="37" t="s">
        <v>88</v>
      </c>
      <c r="D17" s="37" t="s">
        <v>93</v>
      </c>
      <c r="E17" s="37" t="s">
        <v>55</v>
      </c>
      <c r="F17" s="38">
        <v>46254</v>
      </c>
      <c r="G17" s="37" t="s">
        <v>123</v>
      </c>
      <c r="H17" s="37" t="s">
        <v>114</v>
      </c>
      <c r="I17" s="37" t="s">
        <v>28</v>
      </c>
      <c r="J17" s="37" t="s">
        <v>122</v>
      </c>
      <c r="K17" s="37" t="s">
        <v>15</v>
      </c>
      <c r="L17" s="37" t="s">
        <v>124</v>
      </c>
      <c r="M17" s="37" t="s">
        <v>61</v>
      </c>
      <c r="N17" s="38">
        <v>46254</v>
      </c>
      <c r="O17" s="38">
        <v>46269</v>
      </c>
      <c r="P17" s="37">
        <v>16</v>
      </c>
    </row>
    <row r="18" spans="2:16" s="36" customFormat="1" ht="30" x14ac:dyDescent="0.25">
      <c r="B18" s="37" t="s">
        <v>56</v>
      </c>
      <c r="C18" s="37" t="s">
        <v>57</v>
      </c>
      <c r="D18" s="37" t="s">
        <v>58</v>
      </c>
      <c r="E18" s="37" t="s">
        <v>55</v>
      </c>
      <c r="F18" s="38">
        <v>46272</v>
      </c>
      <c r="G18" s="37" t="s">
        <v>125</v>
      </c>
      <c r="H18" s="37" t="s">
        <v>126</v>
      </c>
      <c r="I18" s="37" t="s">
        <v>28</v>
      </c>
      <c r="J18" s="37" t="s">
        <v>127</v>
      </c>
      <c r="K18" s="37" t="s">
        <v>79</v>
      </c>
      <c r="L18" s="37" t="s">
        <v>61</v>
      </c>
      <c r="M18" s="37" t="s">
        <v>61</v>
      </c>
      <c r="N18" s="38">
        <v>46274</v>
      </c>
      <c r="O18" s="38">
        <v>46284</v>
      </c>
      <c r="P18" s="37">
        <v>11</v>
      </c>
    </row>
    <row r="19" spans="2:16" s="36" customFormat="1" ht="30" x14ac:dyDescent="0.25">
      <c r="B19" s="37" t="s">
        <v>129</v>
      </c>
      <c r="C19" s="37" t="s">
        <v>88</v>
      </c>
      <c r="D19" s="37" t="s">
        <v>64</v>
      </c>
      <c r="E19" s="37" t="s">
        <v>130</v>
      </c>
      <c r="F19" s="38">
        <v>46322</v>
      </c>
      <c r="G19" s="37" t="s">
        <v>131</v>
      </c>
      <c r="H19" s="37" t="s">
        <v>132</v>
      </c>
      <c r="I19" s="37" t="s">
        <v>27</v>
      </c>
      <c r="J19" s="37" t="s">
        <v>59</v>
      </c>
      <c r="K19" s="37" t="s">
        <v>89</v>
      </c>
      <c r="L19" s="37" t="s">
        <v>61</v>
      </c>
      <c r="M19" s="37" t="s">
        <v>61</v>
      </c>
      <c r="N19" s="38">
        <v>46322</v>
      </c>
      <c r="O19" s="38">
        <v>46325</v>
      </c>
      <c r="P19" s="37">
        <v>4</v>
      </c>
    </row>
    <row r="20" spans="2:16" s="36" customFormat="1" x14ac:dyDescent="0.25"/>
    <row r="21" spans="2:16" s="36" customFormat="1" x14ac:dyDescent="0.25"/>
    <row r="22" spans="2:16" s="36" customFormat="1" x14ac:dyDescent="0.25"/>
    <row r="23" spans="2:16" s="36" customFormat="1" x14ac:dyDescent="0.25"/>
    <row r="24" spans="2:16" s="36" customFormat="1" x14ac:dyDescent="0.25"/>
    <row r="25" spans="2:16" s="36" customFormat="1" x14ac:dyDescent="0.25"/>
    <row r="26" spans="2:16" s="36" customFormat="1" x14ac:dyDescent="0.25"/>
    <row r="27" spans="2:16" s="36" customFormat="1" x14ac:dyDescent="0.25"/>
    <row r="28" spans="2:16" s="36" customFormat="1" x14ac:dyDescent="0.25"/>
    <row r="29" spans="2:16" s="36" customFormat="1" x14ac:dyDescent="0.25"/>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Analyse 2023-2025</vt:lpstr>
      <vt:lpstr>Détail accident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AMABILE Tim</dc:creator>
  <cp:lastModifiedBy>AMABILE Tim</cp:lastModifiedBy>
  <dcterms:created xsi:type="dcterms:W3CDTF">2025-12-10T13:28:04Z</dcterms:created>
  <dcterms:modified xsi:type="dcterms:W3CDTF">2026-10-28T11:02:17Z</dcterms:modified>
</cp:coreProperties>
</file>