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Conseiller_Prevention\Dossiers CP - Tim AMABILE\Gestion des risques\Amiante-Mercure\Amiante\Priorisation amiante 2026\"/>
    </mc:Choice>
  </mc:AlternateContent>
  <xr:revisionPtr revIDLastSave="0" documentId="13_ncr:1_{E32F33AA-B052-47C5-A3EF-8C1A2B10F38A}" xr6:coauthVersionLast="47" xr6:coauthVersionMax="47" xr10:uidLastSave="{00000000-0000-0000-0000-000000000000}"/>
  <bookViews>
    <workbookView xWindow="25080" yWindow="-690" windowWidth="29040" windowHeight="15720" activeTab="1" xr2:uid="{C800D1F8-D8F6-4AD6-90D3-F4B97DD8E670}"/>
  </bookViews>
  <sheets>
    <sheet name="Feuil1" sheetId="1" r:id="rId1"/>
    <sheet name="Feuil2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6" i="1" l="1"/>
  <c r="F55" i="1"/>
  <c r="F5" i="1"/>
  <c r="F6" i="1"/>
  <c r="F7" i="1"/>
  <c r="F8" i="1"/>
  <c r="F9" i="1"/>
  <c r="F10" i="1"/>
  <c r="F11" i="1"/>
  <c r="F91" i="1"/>
  <c r="F13" i="1"/>
  <c r="F14" i="1"/>
  <c r="F15" i="1"/>
  <c r="F16" i="1"/>
  <c r="F17" i="1"/>
  <c r="F18" i="1"/>
  <c r="F19" i="1"/>
  <c r="F20" i="1"/>
  <c r="F21" i="1"/>
  <c r="F22" i="1"/>
  <c r="F23" i="1"/>
  <c r="F24" i="1"/>
  <c r="F109" i="1"/>
  <c r="F102" i="1"/>
  <c r="F101" i="1"/>
  <c r="F28" i="1"/>
  <c r="F29" i="1"/>
  <c r="F30" i="1"/>
  <c r="F31" i="1"/>
  <c r="F64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90" i="1"/>
  <c r="F100" i="1"/>
  <c r="F49" i="1"/>
  <c r="F50" i="1"/>
  <c r="F51" i="1"/>
  <c r="F52" i="1"/>
  <c r="F53" i="1"/>
  <c r="F54" i="1"/>
  <c r="F56" i="1"/>
  <c r="F57" i="1"/>
  <c r="F58" i="1"/>
  <c r="F12" i="1"/>
  <c r="F96" i="1"/>
  <c r="F97" i="1"/>
  <c r="F85" i="1"/>
  <c r="F83" i="1"/>
  <c r="F86" i="1"/>
  <c r="F87" i="1"/>
  <c r="F67" i="1"/>
  <c r="F65" i="1"/>
  <c r="F66" i="1"/>
  <c r="F68" i="1"/>
  <c r="F69" i="1"/>
  <c r="F70" i="1"/>
  <c r="F71" i="1"/>
  <c r="F72" i="1"/>
  <c r="F73" i="1"/>
  <c r="F74" i="1"/>
  <c r="F75" i="1"/>
  <c r="F76" i="1"/>
  <c r="F77" i="1"/>
  <c r="F78" i="1"/>
  <c r="F79" i="1"/>
  <c r="F82" i="1"/>
  <c r="F108" i="1"/>
  <c r="F92" i="1"/>
  <c r="F110" i="1"/>
  <c r="F99" i="1"/>
  <c r="F89" i="1"/>
  <c r="F61" i="1"/>
  <c r="F27" i="1"/>
  <c r="F32" i="1"/>
  <c r="F48" i="1"/>
  <c r="F62" i="1"/>
  <c r="F59" i="1"/>
  <c r="F60" i="1"/>
  <c r="F47" i="1"/>
  <c r="F63" i="1"/>
  <c r="F84" i="1"/>
  <c r="F88" i="1"/>
  <c r="F105" i="1"/>
  <c r="F80" i="1"/>
  <c r="F81" i="1"/>
  <c r="F93" i="1"/>
  <c r="F26" i="1"/>
  <c r="F95" i="1"/>
  <c r="F25" i="1"/>
  <c r="F103" i="1"/>
  <c r="F104" i="1"/>
  <c r="F98" i="1"/>
  <c r="F107" i="1"/>
  <c r="F94" i="1"/>
  <c r="F4" i="1"/>
</calcChain>
</file>

<file path=xl/sharedStrings.xml><?xml version="1.0" encoding="utf-8"?>
<sst xmlns="http://schemas.openxmlformats.org/spreadsheetml/2006/main" count="493" uniqueCount="191">
  <si>
    <t>Présence Amiante site DIRM MED</t>
  </si>
  <si>
    <t xml:space="preserve">Département </t>
  </si>
  <si>
    <t>Site</t>
  </si>
  <si>
    <t>Présence amiante</t>
  </si>
  <si>
    <t>Date dernier contrôle</t>
  </si>
  <si>
    <t>Prochain contrôle</t>
  </si>
  <si>
    <t>Département 13</t>
  </si>
  <si>
    <t>Centre Opérationnel Balisage Mrs</t>
  </si>
  <si>
    <t>Oui</t>
  </si>
  <si>
    <t>Phare de la Couronne</t>
  </si>
  <si>
    <t>Phare de Faraman</t>
  </si>
  <si>
    <t>Feux de Fort de Bouc</t>
  </si>
  <si>
    <t>Phare du Planier</t>
  </si>
  <si>
    <t>Feu de l’Esqualidou</t>
  </si>
  <si>
    <t>Feu Est port abri</t>
  </si>
  <si>
    <t>Feu Ouest port abri</t>
  </si>
  <si>
    <t>Ancien feu digue Saumaty</t>
  </si>
  <si>
    <t>Feu Ouest port de Saumaty</t>
  </si>
  <si>
    <t>Feu Est Entrée port de Saumaty</t>
  </si>
  <si>
    <t>Feu sud de la passe Mourepiane</t>
  </si>
  <si>
    <t>Feu Est de la passe des chalutiers</t>
  </si>
  <si>
    <t>Feu Ouest de la passe de la Madrague</t>
  </si>
  <si>
    <t>Feu Est de la passe de la Madrague</t>
  </si>
  <si>
    <t>Feu Est de la passe Cap Janet</t>
  </si>
  <si>
    <t>Feu Ouest de la passe Cap Janet</t>
  </si>
  <si>
    <t>Feu du Fort Saint Nicolas</t>
  </si>
  <si>
    <t>Feu de la pointe saint Antoine</t>
  </si>
  <si>
    <t>Feu des trois frères</t>
  </si>
  <si>
    <t>A diagnostiquer</t>
  </si>
  <si>
    <t>Balise de la Digue-La Mède</t>
  </si>
  <si>
    <t>Centre Polmar Port de Bouc pompe Warren</t>
  </si>
  <si>
    <t>Bâtiment St Charles Zattara</t>
  </si>
  <si>
    <t>Date MAJ</t>
  </si>
  <si>
    <t>Phare de Beauduc</t>
  </si>
  <si>
    <t>Non</t>
  </si>
  <si>
    <t>Phare de St Gervais</t>
  </si>
  <si>
    <t>Feu de la passe de l’Estaque</t>
  </si>
  <si>
    <t>Feu de la digue de Saumaty (tripode en métal)</t>
  </si>
  <si>
    <t>Feu rouge (avant-port-nord ?) de la digue de Saumaty</t>
  </si>
  <si>
    <t>A vérifier</t>
  </si>
  <si>
    <t>Feu Nord de la passe de Mourepiane (Nouveau mât en métal)</t>
  </si>
  <si>
    <t>Feu Ouest de Mourepiane (Nouveau en métal)</t>
  </si>
  <si>
    <t>Ancien Feu Ouest de Mourepiane</t>
  </si>
  <si>
    <t>Feu Ouest de la passe des chalutiers</t>
  </si>
  <si>
    <t>Feu Ouest de la passe Léon Gourret (Nouveau mât en métal)</t>
  </si>
  <si>
    <t>Feu de la digue du Large (provisoire)</t>
  </si>
  <si>
    <t>Feu (marque de jour) de la Pointe Rouge</t>
  </si>
  <si>
    <t>Feu de la digue du bassin Bérouard</t>
  </si>
  <si>
    <t>Feu des Capucins</t>
  </si>
  <si>
    <t>Balise du bassin des Capucins</t>
  </si>
  <si>
    <t>Tourelle des Canonniers du sud</t>
  </si>
  <si>
    <t>Feu du Port de Carro</t>
  </si>
  <si>
    <t>Antenne de Martigues - CSN</t>
  </si>
  <si>
    <t>Patrouilleur des Affaires Maritimes « GYPTIS »</t>
  </si>
  <si>
    <t>Bâtiment DDTM 83 (244, Avenue de l’Infanterie de Marine, Toulon)</t>
  </si>
  <si>
    <t>Département 83</t>
  </si>
  <si>
    <t>Phare de Camarat (phare, logement, garage, ascee)</t>
  </si>
  <si>
    <t>Phare de Porquerolles et station de contrôle</t>
  </si>
  <si>
    <t>Phare du Grand Ribaud</t>
  </si>
  <si>
    <t>Désamianté</t>
  </si>
  <si>
    <t>Phare du Grand Rouveau</t>
  </si>
  <si>
    <t>Phare de Bénat</t>
  </si>
  <si>
    <t>Phare de Titan</t>
  </si>
  <si>
    <t>Phare d’Agay</t>
  </si>
  <si>
    <t>Phare de Saint Mandrier</t>
  </si>
  <si>
    <t>Département 06</t>
  </si>
  <si>
    <t>Centre Opérationnel de Balisage de Cannes</t>
  </si>
  <si>
    <t>Phare de Saint Jean Cap Ferrat</t>
  </si>
  <si>
    <t>Phare De la Garoupe</t>
  </si>
  <si>
    <t>Jetée abri Port de Nice (Le Phare)</t>
  </si>
  <si>
    <t>CROSS MED La Garde</t>
  </si>
  <si>
    <t>Centre Opérationnel de balisage de Sète</t>
  </si>
  <si>
    <t>Phare du Cap Leucate</t>
  </si>
  <si>
    <t>Phare de l’Espiguette (Grau du roi)</t>
  </si>
  <si>
    <t>Phare du Mont Saint Clair (Sète)</t>
  </si>
  <si>
    <t>Phare de Béar</t>
  </si>
  <si>
    <t>Fort Fanal-Béar</t>
  </si>
  <si>
    <t>Département 30-34-11-66</t>
  </si>
  <si>
    <t xml:space="preserve">La Pointe des Onglous </t>
  </si>
  <si>
    <t>Feu Est pointe rouge</t>
  </si>
  <si>
    <t>Feu Ouest plagette</t>
  </si>
  <si>
    <t>Feu de la digue Ouest (Port de Marseillan)</t>
  </si>
  <si>
    <t>Feu de la digue Ouest (Port du Cap d’Agde)</t>
  </si>
  <si>
    <t>Feu de la nouvelle digue (Port de Sète)</t>
  </si>
  <si>
    <t>Feu de la digue Est (Port du Cap d’Agde)</t>
  </si>
  <si>
    <t>Feu de la jetée Sud (Le Barcares)</t>
  </si>
  <si>
    <t>Feu de la jetée Sud (Port de Canet)</t>
  </si>
  <si>
    <t>Feu de la digue Ouest (Port Camargue)</t>
  </si>
  <si>
    <t>Feu de la jetée Ouest (Port du Grau du Roi)</t>
  </si>
  <si>
    <t>Feu de la jetée Est (Port du Grau du Roi)</t>
  </si>
  <si>
    <t>Feu de la jetée Ouest (Port de Carnon)</t>
  </si>
  <si>
    <t>Feu de la jetée Est (Port de Carnon)</t>
  </si>
  <si>
    <t>Feu rive gauche (Port de Palavas)</t>
  </si>
  <si>
    <t xml:space="preserve">Centre POLMAR de Sète </t>
  </si>
  <si>
    <t>Commentaires</t>
  </si>
  <si>
    <t>Centre de sécurité des navires Sète 16,rue hoche (repérage conduits cheminée dernier 12/06&gt; prochain 12/09 non visités lors du repérage de 11/21)</t>
  </si>
  <si>
    <t>Centre de sécurité des navires Sète</t>
  </si>
  <si>
    <t>Centre de sécurité des navires Port le Nouvelle</t>
  </si>
  <si>
    <t>Lycée de la Mer Sète</t>
  </si>
  <si>
    <t>La construction du COB de Biguglia date d’après 1997, pas de repérage amiante obligatoire.</t>
  </si>
  <si>
    <t>Phare de la Giraglia</t>
  </si>
  <si>
    <t>Phare du Dragon et du môle Génois</t>
  </si>
  <si>
    <t>Jetée du Dragon (dépôt de matériel)</t>
  </si>
  <si>
    <t>Phare de Fornali</t>
  </si>
  <si>
    <t>Repérage liste A</t>
  </si>
  <si>
    <t>Phare de la Mortella</t>
  </si>
  <si>
    <t>Phare du Port de Commerce (Bastia)</t>
  </si>
  <si>
    <t>Phare de la Pietra</t>
  </si>
  <si>
    <t>Phare de la Revellata</t>
  </si>
  <si>
    <t>Phare de la Jetée du Port de l’Île Rousse</t>
  </si>
  <si>
    <t>Phare d’Alistro</t>
  </si>
  <si>
    <t>LOCAL de CALVI</t>
  </si>
  <si>
    <t>Bâtiment.1 : Délégation DIRM en Corse au COB d’Ajaccio</t>
  </si>
  <si>
    <t>COB d’Ajaccio et Délégation DIRM en Corse</t>
  </si>
  <si>
    <t>Phare de Senetosa (Sartène)</t>
  </si>
  <si>
    <t>Phare des Sanguinaires</t>
  </si>
  <si>
    <t>Centre Opérationnel de balisage de Bonifacio</t>
  </si>
  <si>
    <t>COB de Bonifacio / Local (grotte)</t>
  </si>
  <si>
    <t>Phare de Pertusato (Bonifacio)</t>
  </si>
  <si>
    <t>Feu du Cap Feno</t>
  </si>
  <si>
    <t>Phare des Îles Lavezzi (Bonifacio)</t>
  </si>
  <si>
    <t>Phare de la Chiappa (Porto Vecchio)</t>
  </si>
  <si>
    <t>Phare St Cyprien (Lecci - Domaine de Cala Rossa)</t>
  </si>
  <si>
    <t>CROSS MED (Sous CROSS ASPRETTO)</t>
  </si>
  <si>
    <t>Lycée Maritime et Aquacole de Bastia</t>
  </si>
  <si>
    <t>Repérage amiante toiture bâtiment annexe 08/19, pour le bâtiment principal dernière date connue en 2013</t>
  </si>
  <si>
    <t>Phare de Leucate 09/18 repérage menuiseries, 11/13 phare bureaux et salle technique. Dernière visite logement 05/06</t>
  </si>
  <si>
    <t>DTA 23725646/S1/4/AM-DTA</t>
  </si>
  <si>
    <t>7261091/S1.1.2.DTA</t>
  </si>
  <si>
    <t>3 points contenant de l’amiante</t>
  </si>
  <si>
    <t>Logement Ferrat</t>
  </si>
  <si>
    <t>2 points contenant de l'amiante</t>
  </si>
  <si>
    <t>Passage de cable vide-sanitaire + toiture + 2 revêtements fibrociments extérieurs =&gt; calfeutrements par SC PACA</t>
  </si>
  <si>
    <t>2B - Bastia</t>
  </si>
  <si>
    <t>2A - Ajaccio</t>
  </si>
  <si>
    <t>2A - Bonifacio</t>
  </si>
  <si>
    <t>2A</t>
  </si>
  <si>
    <t xml:space="preserve"> </t>
  </si>
  <si>
    <t>Non programmé, les locaux du COB ne sont pas concernés par la présence d'amiante.</t>
  </si>
  <si>
    <t>Non programmé. Rapport de repérage réalisé le 13/11/2025, désamiantage programmé courant 2026.</t>
  </si>
  <si>
    <r>
      <t xml:space="preserve">Désamiantage réalisé en 2025 lors des travaux sur la terrasse ; </t>
    </r>
    <r>
      <rPr>
        <sz val="11"/>
        <color rgb="FFFF0000"/>
        <rFont val="Calibri"/>
        <family val="2"/>
        <scheme val="minor"/>
      </rPr>
      <t>refaire un DTA pour bilan</t>
    </r>
  </si>
  <si>
    <r>
      <rPr>
        <sz val="11"/>
        <color rgb="FFFF0000"/>
        <rFont val="Calibri"/>
        <family val="2"/>
        <scheme val="minor"/>
      </rPr>
      <t>A programmer</t>
    </r>
    <r>
      <rPr>
        <sz val="11"/>
        <color theme="1"/>
        <rFont val="Calibri"/>
        <family val="2"/>
        <scheme val="minor"/>
      </rPr>
      <t xml:space="preserve"> sur l'ancienne maison des gardiens attenante aux phares. Pas de présence d'amiante sur le phare.</t>
    </r>
  </si>
  <si>
    <r>
      <rPr>
        <sz val="11"/>
        <color rgb="FFFF0000"/>
        <rFont val="Calibri"/>
        <family val="2"/>
        <scheme val="minor"/>
      </rPr>
      <t>A programmer</t>
    </r>
    <r>
      <rPr>
        <sz val="11"/>
        <color theme="1"/>
        <rFont val="Calibri"/>
        <family val="2"/>
        <scheme val="minor"/>
      </rPr>
      <t>, présence d'amiante au radiophare, sur la façade est du phare et sur le coffrage d'un poteau attenant au phare.</t>
    </r>
  </si>
  <si>
    <r>
      <t xml:space="preserve">Site en grande partie transféré au Conservatoire - présence d'amiante dans le local chaudière ; </t>
    </r>
    <r>
      <rPr>
        <sz val="11"/>
        <color rgb="FFFF0000"/>
        <rFont val="Calibri"/>
        <family val="2"/>
        <scheme val="minor"/>
      </rPr>
      <t xml:space="preserve">à contrôler </t>
    </r>
  </si>
  <si>
    <t>Maison phare existante, accès actuellement condamné ;  contrôle non prioritaire</t>
  </si>
  <si>
    <t>Senetosa est en gestion pour la plus grande partie avec le conservatoire du littoral corse.</t>
  </si>
  <si>
    <t>une DAT avait été faite aux sanguinaires</t>
  </si>
  <si>
    <t>Un désamiantage partiel va être effectué sur le COB et la partie délégation dans 1 mois</t>
  </si>
  <si>
    <t>: Travaux de désamiantage des conduits en amiante-ciment et reprises de maçonneries</t>
  </si>
  <si>
    <t>Non mais 1998</t>
  </si>
  <si>
    <t>Non mais 1997</t>
  </si>
  <si>
    <t xml:space="preserve">déménagement, dans le privé </t>
  </si>
  <si>
    <t>Colonne1</t>
  </si>
  <si>
    <t>budget lycée</t>
  </si>
  <si>
    <t>plus utilisé</t>
  </si>
  <si>
    <t>pas nous, mais faut demander à la défense</t>
  </si>
  <si>
    <t xml:space="preserve">désamianté cette année </t>
  </si>
  <si>
    <t>vérifier ce qu'on a, voir avec mathieu</t>
  </si>
  <si>
    <t>vérifier avec mathieu</t>
  </si>
  <si>
    <t xml:space="preserve">Plein travaux </t>
  </si>
  <si>
    <t>Département</t>
  </si>
  <si>
    <t>Accès</t>
  </si>
  <si>
    <t>facile d'accès</t>
  </si>
  <si>
    <t>accessible en voiture</t>
  </si>
  <si>
    <t>Pas accessible directement en voiture --&gt; difficile</t>
  </si>
  <si>
    <t>Accessible en bateau</t>
  </si>
  <si>
    <t xml:space="preserve">accès terrestre, pas de difficulté </t>
  </si>
  <si>
    <t xml:space="preserve">Accessible en voiture, pas de difficulté </t>
  </si>
  <si>
    <t>Facile</t>
  </si>
  <si>
    <t>terrestre, facile d'accès</t>
  </si>
  <si>
    <t>synchroniser avec feu est</t>
  </si>
  <si>
    <t xml:space="preserve">terrestre, facile d'accès mais peut être finir à pied </t>
  </si>
  <si>
    <t>accès maritime</t>
  </si>
  <si>
    <t>accès maritime et difficile</t>
  </si>
  <si>
    <t>terrestre</t>
  </si>
  <si>
    <t xml:space="preserve">terrestre </t>
  </si>
  <si>
    <t xml:space="preserve">accès maritime </t>
  </si>
  <si>
    <t>Phare du Port de Commerce (StNicolas)</t>
  </si>
  <si>
    <t>DTA</t>
  </si>
  <si>
    <t>On ne retrouve pas le DTA, on part sur une visite initiale</t>
  </si>
  <si>
    <t>Accès interdit en voiture, il faut marcher 500m</t>
  </si>
  <si>
    <t>zone à accès réglementé, mais son accès ne présente pas de difficulté pour les entreprises</t>
  </si>
  <si>
    <t>accès terrestre sans soucis particulier</t>
  </si>
  <si>
    <t>Feu Est pointe courte</t>
  </si>
  <si>
    <t xml:space="preserve">accès réserver voir GPMM, accessible en voiture </t>
  </si>
  <si>
    <t>facile d'accès mais faut terminer à pied par une propriété privé (&lt;500m) : éviter juin à septembre</t>
  </si>
  <si>
    <t>Repérage liste A : conventionné avec le conservatoire du littoral</t>
  </si>
  <si>
    <t>Le précédent diagnostic avait relevé une présence d'amiante dans un tuyautage débouchant des combles sur le toit par un conduit en brique (a priori sans connexion avec un réseau quelconque à l'époque).
Ce conduit et a priori le tuyautage ont disparu lors de la réfection de la toiture voir photos jointes.</t>
  </si>
  <si>
    <t>S'agissant de parties qui ne sont pas démontées lors de l'entretien, il avait été convenu d'y apposer des plaques signalétiques pour prévenir les opérateurs.</t>
  </si>
  <si>
    <t xml:space="preserve">Concernant le feu de la digue Saumaty, s'il s'agit de celui de l'avant port Nord, la structure du feu a été déplacée en 2016 à l'occasion de travaux d'extension et de confortement de la digue. Il y a donc fort à parier qu'à cette occasion, le nécessaire a été fait pour éliminer ou s'assurer de l'absence d'amiante. </t>
  </si>
  <si>
    <t>Convention avec le conservatoire : DTA déjà réalisé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</si>
</sst>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17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17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0" borderId="3" xfId="0" applyFill="1" applyBorder="1" applyAlignment="1"/>
    <xf numFmtId="0" fontId="0" fillId="0" borderId="1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/>
    <xf numFmtId="17" fontId="0" fillId="0" borderId="0" xfId="0" applyNumberFormat="1" applyFill="1"/>
    <xf numFmtId="0" fontId="4" fillId="0" borderId="0" xfId="0" applyFont="1" applyAlignment="1">
      <alignment wrapText="1"/>
    </xf>
    <xf numFmtId="17" fontId="5" fillId="0" borderId="0" xfId="0" applyNumberFormat="1" applyFont="1" applyFill="1"/>
    <xf numFmtId="0" fontId="5" fillId="0" borderId="0" xfId="0" applyFont="1" applyFill="1"/>
    <xf numFmtId="0" fontId="0" fillId="5" borderId="0" xfId="0" applyFill="1" applyAlignment="1">
      <alignment wrapText="1"/>
    </xf>
    <xf numFmtId="0" fontId="0" fillId="5" borderId="0" xfId="0" applyFill="1"/>
    <xf numFmtId="17" fontId="0" fillId="5" borderId="0" xfId="0" applyNumberFormat="1" applyFill="1"/>
    <xf numFmtId="0" fontId="5" fillId="0" borderId="1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5" fillId="0" borderId="0" xfId="0" applyFont="1"/>
    <xf numFmtId="0" fontId="6" fillId="0" borderId="0" xfId="0" applyFont="1" applyFill="1"/>
    <xf numFmtId="0" fontId="5" fillId="0" borderId="2" xfId="0" applyFont="1" applyFill="1" applyBorder="1"/>
    <xf numFmtId="1" fontId="5" fillId="0" borderId="0" xfId="0" applyNumberFormat="1" applyFont="1"/>
    <xf numFmtId="17" fontId="5" fillId="0" borderId="0" xfId="0" applyNumberFormat="1" applyFont="1"/>
    <xf numFmtId="0" fontId="0" fillId="0" borderId="0" xfId="0" applyFont="1" applyFill="1" applyAlignment="1">
      <alignment wrapText="1"/>
    </xf>
    <xf numFmtId="0" fontId="0" fillId="0" borderId="0" xfId="0" applyFont="1" applyFill="1"/>
  </cellXfs>
  <cellStyles count="1">
    <cellStyle name="Normal" xfId="0" builtinId="0"/>
  </cellStyles>
  <dxfs count="2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F9DC40-3E17-4810-B979-D46BF6B46CB8}" name="Tableau1" displayName="Tableau1" ref="A3:H110" totalsRowShown="0">
  <autoFilter ref="A3:H110" xr:uid="{7FF9DC40-3E17-4810-B979-D46BF6B46CB8}"/>
  <sortState xmlns:xlrd2="http://schemas.microsoft.com/office/spreadsheetml/2017/richdata2" ref="A12:H110">
    <sortCondition ref="E3:E110"/>
  </sortState>
  <tableColumns count="8">
    <tableColumn id="1" xr3:uid="{B6F8C88F-9429-4558-919E-00442993F005}" name="Département " dataDxfId="10"/>
    <tableColumn id="2" xr3:uid="{E8F424FA-6181-4F24-865F-B11ACC00FA6A}" name="Site" dataDxfId="9"/>
    <tableColumn id="7" xr3:uid="{534B3F89-C5B6-4B37-A24D-F050D8C26F56}" name="Commentaires" dataDxfId="8"/>
    <tableColumn id="3" xr3:uid="{6EE8EE2F-77C6-48D0-BF22-72B05B731AA9}" name="Présence amiante"/>
    <tableColumn id="4" xr3:uid="{828AE2DF-3D8C-4E7E-ADF9-661666C52608}" name="Date dernier contrôle"/>
    <tableColumn id="5" xr3:uid="{FC368926-1109-4E49-B8BC-A9CA00CEB2AC}" name="Prochain contrôle">
      <calculatedColumnFormula>IF(Tableau1[[#This Row],[Présence amiante]]="oui",(EDATE(Tableau1[[#This Row],[Date dernier contrôle]],36)),"NA")</calculatedColumnFormula>
    </tableColumn>
    <tableColumn id="6" xr3:uid="{B7257BFE-6691-42D7-B9DB-0957160D404C}" name="Date MAJ"/>
    <tableColumn id="8" xr3:uid="{F998C4BA-F86D-45B1-865C-68F6DE6C72BA}" name="Colonne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7586DC-E25D-4A49-BF58-1A9523B36619}" name="Tableau2" displayName="Tableau2" ref="A2:F30" totalsRowShown="0" headerRowDxfId="7" dataDxfId="6">
  <autoFilter ref="A2:F30" xr:uid="{DB7586DC-E25D-4A49-BF58-1A9523B36619}"/>
  <tableColumns count="6">
    <tableColumn id="1" xr3:uid="{2CDF14BD-60C6-40D6-8725-189F98EF6A1D}" name="Département" dataDxfId="5"/>
    <tableColumn id="2" xr3:uid="{1C658014-6027-4AEF-9F50-CB2AD423DD41}" name="Site" dataDxfId="4"/>
    <tableColumn id="5" xr3:uid="{0368DDFF-DEDD-43C8-93FF-B03EC861A5C1}" name="Date dernier contrôle" dataDxfId="3"/>
    <tableColumn id="3" xr3:uid="{84F2CE2F-E2D9-4097-B0AC-A79BE2A492E7}" name="Accès" dataDxfId="2"/>
    <tableColumn id="4" xr3:uid="{FC353881-3010-49DF-B363-9C69F045DF00}" name="Commentaires" dataDxfId="1"/>
    <tableColumn id="6" xr3:uid="{971E7D26-EBF5-4916-813D-4F79B3A140A5}" name="D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1722-54CF-4164-B57C-45AA37ED2AB9}">
  <dimension ref="A1:H110"/>
  <sheetViews>
    <sheetView topLeftCell="A31" zoomScale="66" zoomScaleNormal="80" workbookViewId="0">
      <selection activeCell="K17" sqref="K17"/>
    </sheetView>
  </sheetViews>
  <sheetFormatPr baseColWidth="10" defaultRowHeight="15" x14ac:dyDescent="0.25"/>
  <cols>
    <col min="1" max="1" width="23.85546875" customWidth="1"/>
    <col min="2" max="3" width="43.85546875" customWidth="1"/>
    <col min="4" max="4" width="18.85546875" customWidth="1"/>
    <col min="5" max="5" width="22.140625" customWidth="1"/>
    <col min="6" max="6" width="18.7109375" customWidth="1"/>
    <col min="7" max="7" width="14.85546875" customWidth="1"/>
    <col min="8" max="8" width="27.7109375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94</v>
      </c>
      <c r="D3" t="s">
        <v>3</v>
      </c>
      <c r="E3" t="s">
        <v>4</v>
      </c>
      <c r="F3" t="s">
        <v>5</v>
      </c>
      <c r="G3" t="s">
        <v>32</v>
      </c>
      <c r="H3" t="s">
        <v>152</v>
      </c>
    </row>
    <row r="4" spans="1:8" x14ac:dyDescent="0.25">
      <c r="A4" s="3" t="s">
        <v>6</v>
      </c>
      <c r="B4" s="3" t="s">
        <v>7</v>
      </c>
      <c r="C4" s="3"/>
      <c r="D4" t="s">
        <v>8</v>
      </c>
      <c r="E4" s="1">
        <v>44743</v>
      </c>
      <c r="F4" s="2">
        <f>IF(Tableau1[[#This Row],[Présence amiante]]="oui",(EDATE(Tableau1[[#This Row],[Date dernier contrôle]],36)),"NA")</f>
        <v>45839</v>
      </c>
    </row>
    <row r="5" spans="1:8" x14ac:dyDescent="0.25">
      <c r="A5" s="3" t="s">
        <v>6</v>
      </c>
      <c r="B5" s="3" t="s">
        <v>9</v>
      </c>
      <c r="C5" s="3"/>
      <c r="D5" t="s">
        <v>8</v>
      </c>
      <c r="E5" s="1">
        <v>44743</v>
      </c>
      <c r="F5" s="2">
        <f>IF(Tableau1[[#This Row],[Présence amiante]]="oui",(EDATE(Tableau1[[#This Row],[Date dernier contrôle]],36)),"NA")</f>
        <v>45839</v>
      </c>
    </row>
    <row r="6" spans="1:8" x14ac:dyDescent="0.25">
      <c r="A6" s="3" t="s">
        <v>6</v>
      </c>
      <c r="B6" s="3" t="s">
        <v>10</v>
      </c>
      <c r="C6" s="3"/>
      <c r="D6" t="s">
        <v>8</v>
      </c>
      <c r="E6" s="1">
        <v>44743</v>
      </c>
      <c r="F6" s="2">
        <f>IF(Tableau1[[#This Row],[Présence amiante]]="oui",(EDATE(Tableau1[[#This Row],[Date dernier contrôle]],36)),"NA")</f>
        <v>45839</v>
      </c>
    </row>
    <row r="7" spans="1:8" x14ac:dyDescent="0.25">
      <c r="A7" s="3" t="s">
        <v>6</v>
      </c>
      <c r="B7" s="3" t="s">
        <v>11</v>
      </c>
      <c r="C7" s="3"/>
      <c r="D7" t="s">
        <v>8</v>
      </c>
      <c r="E7" s="1">
        <v>44743</v>
      </c>
      <c r="F7" s="2">
        <f>IF(Tableau1[[#This Row],[Présence amiante]]="oui",(EDATE(Tableau1[[#This Row],[Date dernier contrôle]],36)),"NA")</f>
        <v>45839</v>
      </c>
    </row>
    <row r="8" spans="1:8" x14ac:dyDescent="0.25">
      <c r="A8" s="3" t="s">
        <v>6</v>
      </c>
      <c r="B8" s="3" t="s">
        <v>12</v>
      </c>
      <c r="C8" s="3"/>
      <c r="D8" t="s">
        <v>8</v>
      </c>
      <c r="E8" s="1">
        <v>44927</v>
      </c>
      <c r="F8" s="2">
        <f>IF(Tableau1[[#This Row],[Présence amiante]]="oui",(EDATE(Tableau1[[#This Row],[Date dernier contrôle]],36)),"NA")</f>
        <v>46023</v>
      </c>
    </row>
    <row r="9" spans="1:8" x14ac:dyDescent="0.25">
      <c r="A9" s="3" t="s">
        <v>6</v>
      </c>
      <c r="B9" s="3" t="s">
        <v>13</v>
      </c>
      <c r="C9" s="3"/>
      <c r="D9" t="s">
        <v>8</v>
      </c>
      <c r="E9" s="1">
        <v>44866</v>
      </c>
      <c r="F9" s="2">
        <f>IF(Tableau1[[#This Row],[Présence amiante]]="oui",(EDATE(Tableau1[[#This Row],[Date dernier contrôle]],36)),"NA")</f>
        <v>45962</v>
      </c>
    </row>
    <row r="10" spans="1:8" x14ac:dyDescent="0.25">
      <c r="A10" s="3" t="s">
        <v>6</v>
      </c>
      <c r="B10" s="3" t="s">
        <v>14</v>
      </c>
      <c r="C10" s="3"/>
      <c r="D10" t="s">
        <v>8</v>
      </c>
      <c r="E10" s="1">
        <v>44743</v>
      </c>
      <c r="F10" s="2">
        <f>IF(Tableau1[[#This Row],[Présence amiante]]="oui",(EDATE(Tableau1[[#This Row],[Date dernier contrôle]],36)),"NA")</f>
        <v>45839</v>
      </c>
    </row>
    <row r="11" spans="1:8" x14ac:dyDescent="0.25">
      <c r="A11" s="3" t="s">
        <v>6</v>
      </c>
      <c r="B11" s="3" t="s">
        <v>15</v>
      </c>
      <c r="C11" s="3"/>
      <c r="D11" t="s">
        <v>8</v>
      </c>
      <c r="E11" s="1">
        <v>44743</v>
      </c>
      <c r="F11" s="2">
        <f>IF(Tableau1[[#This Row],[Présence amiante]]="oui",(EDATE(Tableau1[[#This Row],[Date dernier contrôle]],36)),"NA")</f>
        <v>45839</v>
      </c>
    </row>
    <row r="12" spans="1:8" x14ac:dyDescent="0.25">
      <c r="A12" s="3" t="s">
        <v>65</v>
      </c>
      <c r="B12" s="3" t="s">
        <v>69</v>
      </c>
      <c r="C12" s="3"/>
      <c r="D12" t="s">
        <v>8</v>
      </c>
      <c r="E12" s="1">
        <v>35370</v>
      </c>
      <c r="F12" s="2">
        <f>IF(Tableau1[[#This Row],[Présence amiante]]="oui",(EDATE(Tableau1[[#This Row],[Date dernier contrôle]],36)),"NA")</f>
        <v>36465</v>
      </c>
      <c r="H12" s="9"/>
    </row>
    <row r="13" spans="1:8" x14ac:dyDescent="0.25">
      <c r="A13" s="3" t="s">
        <v>6</v>
      </c>
      <c r="B13" s="3" t="s">
        <v>17</v>
      </c>
      <c r="C13" s="3"/>
      <c r="D13" t="s">
        <v>8</v>
      </c>
      <c r="E13" s="1">
        <v>44743</v>
      </c>
      <c r="F13" s="2">
        <f>IF(Tableau1[[#This Row],[Présence amiante]]="oui",(EDATE(Tableau1[[#This Row],[Date dernier contrôle]],36)),"NA")</f>
        <v>45839</v>
      </c>
    </row>
    <row r="14" spans="1:8" x14ac:dyDescent="0.25">
      <c r="A14" s="3" t="s">
        <v>6</v>
      </c>
      <c r="B14" s="3" t="s">
        <v>18</v>
      </c>
      <c r="C14" s="3"/>
      <c r="D14" t="s">
        <v>8</v>
      </c>
      <c r="E14" s="1">
        <v>44743</v>
      </c>
      <c r="F14" s="2">
        <f>IF(Tableau1[[#This Row],[Présence amiante]]="oui",(EDATE(Tableau1[[#This Row],[Date dernier contrôle]],36)),"NA")</f>
        <v>45839</v>
      </c>
    </row>
    <row r="15" spans="1:8" x14ac:dyDescent="0.25">
      <c r="A15" s="3" t="s">
        <v>6</v>
      </c>
      <c r="B15" s="3" t="s">
        <v>19</v>
      </c>
      <c r="C15" s="3"/>
      <c r="D15" t="s">
        <v>8</v>
      </c>
      <c r="E15" s="1">
        <v>44743</v>
      </c>
      <c r="F15" s="2">
        <f>IF(Tableau1[[#This Row],[Présence amiante]]="oui",(EDATE(Tableau1[[#This Row],[Date dernier contrôle]],36)),"NA")</f>
        <v>45839</v>
      </c>
    </row>
    <row r="16" spans="1:8" x14ac:dyDescent="0.25">
      <c r="A16" s="3" t="s">
        <v>6</v>
      </c>
      <c r="B16" s="3" t="s">
        <v>42</v>
      </c>
      <c r="C16" s="3"/>
      <c r="D16" t="s">
        <v>8</v>
      </c>
      <c r="E16" s="1">
        <v>44743</v>
      </c>
      <c r="F16" s="2">
        <f>IF(Tableau1[[#This Row],[Présence amiante]]="oui",(EDATE(Tableau1[[#This Row],[Date dernier contrôle]],36)),"NA")</f>
        <v>45839</v>
      </c>
    </row>
    <row r="17" spans="1:8" x14ac:dyDescent="0.25">
      <c r="A17" s="3" t="s">
        <v>6</v>
      </c>
      <c r="B17" s="3" t="s">
        <v>20</v>
      </c>
      <c r="C17" s="3"/>
      <c r="D17" t="s">
        <v>8</v>
      </c>
      <c r="E17" s="1">
        <v>44743</v>
      </c>
      <c r="F17" s="2">
        <f>IF(Tableau1[[#This Row],[Présence amiante]]="oui",(EDATE(Tableau1[[#This Row],[Date dernier contrôle]],36)),"NA")</f>
        <v>45839</v>
      </c>
    </row>
    <row r="18" spans="1:8" x14ac:dyDescent="0.25">
      <c r="A18" s="3" t="s">
        <v>6</v>
      </c>
      <c r="B18" s="3" t="s">
        <v>21</v>
      </c>
      <c r="C18" s="3"/>
      <c r="D18" t="s">
        <v>8</v>
      </c>
      <c r="E18" s="1">
        <v>44743</v>
      </c>
      <c r="F18" s="2">
        <f>IF(Tableau1[[#This Row],[Présence amiante]]="oui",(EDATE(Tableau1[[#This Row],[Date dernier contrôle]],36)),"NA")</f>
        <v>45839</v>
      </c>
    </row>
    <row r="19" spans="1:8" x14ac:dyDescent="0.25">
      <c r="A19" s="3" t="s">
        <v>6</v>
      </c>
      <c r="B19" s="3" t="s">
        <v>22</v>
      </c>
      <c r="C19" s="3"/>
      <c r="D19" t="s">
        <v>8</v>
      </c>
      <c r="E19" s="1">
        <v>44743</v>
      </c>
      <c r="F19" s="2">
        <f>IF(Tableau1[[#This Row],[Présence amiante]]="oui",(EDATE(Tableau1[[#This Row],[Date dernier contrôle]],36)),"NA")</f>
        <v>45839</v>
      </c>
    </row>
    <row r="20" spans="1:8" x14ac:dyDescent="0.25">
      <c r="A20" s="3" t="s">
        <v>6</v>
      </c>
      <c r="B20" s="3" t="s">
        <v>23</v>
      </c>
      <c r="C20" s="3"/>
      <c r="D20" t="s">
        <v>8</v>
      </c>
      <c r="E20" s="1">
        <v>44743</v>
      </c>
      <c r="F20" s="2">
        <f>IF(Tableau1[[#This Row],[Présence amiante]]="oui",(EDATE(Tableau1[[#This Row],[Date dernier contrôle]],36)),"NA")</f>
        <v>45839</v>
      </c>
    </row>
    <row r="21" spans="1:8" x14ac:dyDescent="0.25">
      <c r="A21" s="3" t="s">
        <v>6</v>
      </c>
      <c r="B21" s="3" t="s">
        <v>24</v>
      </c>
      <c r="C21" s="3"/>
      <c r="D21" t="s">
        <v>8</v>
      </c>
      <c r="E21" s="1">
        <v>44743</v>
      </c>
      <c r="F21" s="2">
        <f>IF(Tableau1[[#This Row],[Présence amiante]]="oui",(EDATE(Tableau1[[#This Row],[Date dernier contrôle]],36)),"NA")</f>
        <v>45839</v>
      </c>
    </row>
    <row r="22" spans="1:8" x14ac:dyDescent="0.25">
      <c r="A22" s="3" t="s">
        <v>6</v>
      </c>
      <c r="B22" s="3" t="s">
        <v>25</v>
      </c>
      <c r="C22" s="3"/>
      <c r="D22" t="s">
        <v>8</v>
      </c>
      <c r="E22" s="1">
        <v>44743</v>
      </c>
      <c r="F22" s="2">
        <f>IF(Tableau1[[#This Row],[Présence amiante]]="oui",(EDATE(Tableau1[[#This Row],[Date dernier contrôle]],36)),"NA")</f>
        <v>45839</v>
      </c>
    </row>
    <row r="23" spans="1:8" x14ac:dyDescent="0.25">
      <c r="A23" s="3" t="s">
        <v>6</v>
      </c>
      <c r="B23" s="3" t="s">
        <v>26</v>
      </c>
      <c r="C23" s="3"/>
      <c r="D23" t="s">
        <v>8</v>
      </c>
      <c r="E23" s="1">
        <v>44743</v>
      </c>
      <c r="F23" s="2">
        <f>IF(Tableau1[[#This Row],[Présence amiante]]="oui",(EDATE(Tableau1[[#This Row],[Date dernier contrôle]],36)),"NA")</f>
        <v>45839</v>
      </c>
    </row>
    <row r="24" spans="1:8" x14ac:dyDescent="0.25">
      <c r="A24" s="3" t="s">
        <v>6</v>
      </c>
      <c r="B24" s="3" t="s">
        <v>27</v>
      </c>
      <c r="C24" s="3"/>
      <c r="D24" t="s">
        <v>8</v>
      </c>
      <c r="E24" s="2">
        <v>45877</v>
      </c>
      <c r="F24" s="2">
        <f>IF(Tableau1[[#This Row],[Présence amiante]]="oui",(EDATE(Tableau1[[#This Row],[Date dernier contrôle]],36)),"NA")</f>
        <v>46973</v>
      </c>
    </row>
    <row r="25" spans="1:8" ht="30" x14ac:dyDescent="0.25">
      <c r="A25" s="3" t="s">
        <v>134</v>
      </c>
      <c r="B25" s="3" t="s">
        <v>119</v>
      </c>
      <c r="C25" s="5" t="s">
        <v>186</v>
      </c>
      <c r="D25" s="6" t="s">
        <v>150</v>
      </c>
      <c r="E25" s="7">
        <v>35612</v>
      </c>
      <c r="F25" s="2" t="str">
        <f>IF(Tableau1[[#This Row],[Présence amiante]]="oui",(EDATE(Tableau1[[#This Row],[Date dernier contrôle]],36)),"NA")</f>
        <v>NA</v>
      </c>
      <c r="G25" s="2">
        <v>46164</v>
      </c>
      <c r="H25" s="9"/>
    </row>
    <row r="26" spans="1:8" x14ac:dyDescent="0.25">
      <c r="A26" s="3" t="s">
        <v>135</v>
      </c>
      <c r="B26" s="3" t="s">
        <v>117</v>
      </c>
      <c r="C26" s="5" t="s">
        <v>104</v>
      </c>
      <c r="D26" s="6" t="s">
        <v>150</v>
      </c>
      <c r="E26" s="7">
        <v>35612</v>
      </c>
      <c r="F26" s="2" t="str">
        <f>IF(Tableau1[[#This Row],[Présence amiante]]="oui",(EDATE(Tableau1[[#This Row],[Date dernier contrôle]],36)),"NA")</f>
        <v>NA</v>
      </c>
      <c r="H26" t="s">
        <v>154</v>
      </c>
    </row>
    <row r="27" spans="1:8" x14ac:dyDescent="0.25">
      <c r="A27" s="3" t="s">
        <v>133</v>
      </c>
      <c r="B27" s="3" t="s">
        <v>102</v>
      </c>
      <c r="C27" s="5" t="s">
        <v>104</v>
      </c>
      <c r="D27" s="6" t="s">
        <v>149</v>
      </c>
      <c r="E27" s="7">
        <v>35827</v>
      </c>
      <c r="F27" s="2" t="str">
        <f>IF(Tableau1[[#This Row],[Présence amiante]]="oui",(EDATE(Tableau1[[#This Row],[Date dernier contrôle]],36)),"NA")</f>
        <v>NA</v>
      </c>
      <c r="G27" s="2">
        <v>46175</v>
      </c>
      <c r="H27" s="9" t="s">
        <v>158</v>
      </c>
    </row>
    <row r="28" spans="1:8" x14ac:dyDescent="0.25">
      <c r="A28" s="3" t="s">
        <v>6</v>
      </c>
      <c r="B28" s="3" t="s">
        <v>33</v>
      </c>
      <c r="C28" s="3"/>
      <c r="D28" t="s">
        <v>34</v>
      </c>
      <c r="E28" s="1">
        <v>36342</v>
      </c>
      <c r="F28" s="2" t="str">
        <f>IF(Tableau1[[#This Row],[Présence amiante]]="oui",(EDATE(Tableau1[[#This Row],[Date dernier contrôle]],36)),"NA")</f>
        <v>NA</v>
      </c>
    </row>
    <row r="29" spans="1:8" x14ac:dyDescent="0.25">
      <c r="A29" s="3" t="s">
        <v>6</v>
      </c>
      <c r="B29" s="3" t="s">
        <v>35</v>
      </c>
      <c r="C29" s="3"/>
      <c r="D29" t="s">
        <v>34</v>
      </c>
      <c r="E29" s="1">
        <v>41548</v>
      </c>
      <c r="F29" s="2" t="str">
        <f>IF(Tableau1[[#This Row],[Présence amiante]]="oui",(EDATE(Tableau1[[#This Row],[Date dernier contrôle]],36)),"NA")</f>
        <v>NA</v>
      </c>
    </row>
    <row r="30" spans="1:8" x14ac:dyDescent="0.25">
      <c r="A30" s="3" t="s">
        <v>6</v>
      </c>
      <c r="B30" s="3" t="s">
        <v>36</v>
      </c>
      <c r="C30" s="3"/>
      <c r="D30" t="s">
        <v>34</v>
      </c>
      <c r="E30" s="1">
        <v>39873</v>
      </c>
      <c r="F30" s="2" t="str">
        <f>IF(Tableau1[[#This Row],[Présence amiante]]="oui",(EDATE(Tableau1[[#This Row],[Date dernier contrôle]],36)),"NA")</f>
        <v>NA</v>
      </c>
    </row>
    <row r="31" spans="1:8" x14ac:dyDescent="0.25">
      <c r="A31" s="3" t="s">
        <v>6</v>
      </c>
      <c r="B31" s="3" t="s">
        <v>37</v>
      </c>
      <c r="C31" s="3"/>
      <c r="D31" t="s">
        <v>34</v>
      </c>
      <c r="E31" s="1">
        <v>42826</v>
      </c>
      <c r="F31" s="2" t="str">
        <f>IF(Tableau1[[#This Row],[Présence amiante]]="oui",(EDATE(Tableau1[[#This Row],[Date dernier contrôle]],36)),"NA")</f>
        <v>NA</v>
      </c>
    </row>
    <row r="32" spans="1:8" x14ac:dyDescent="0.25">
      <c r="A32" s="3" t="s">
        <v>133</v>
      </c>
      <c r="B32" s="3" t="s">
        <v>103</v>
      </c>
      <c r="C32" s="5" t="s">
        <v>104</v>
      </c>
      <c r="D32" s="6" t="s">
        <v>149</v>
      </c>
      <c r="E32" s="7">
        <v>35827</v>
      </c>
      <c r="F32" s="2" t="str">
        <f>IF(Tableau1[[#This Row],[Présence amiante]]="oui",(EDATE(Tableau1[[#This Row],[Date dernier contrôle]],36)),"NA")</f>
        <v>NA</v>
      </c>
      <c r="G32" s="2">
        <v>46175</v>
      </c>
      <c r="H32" s="9"/>
    </row>
    <row r="33" spans="1:8" ht="32.25" customHeight="1" x14ac:dyDescent="0.25">
      <c r="A33" s="3" t="s">
        <v>6</v>
      </c>
      <c r="B33" s="3" t="s">
        <v>40</v>
      </c>
      <c r="C33" s="3"/>
      <c r="D33" t="s">
        <v>34</v>
      </c>
      <c r="E33" s="1">
        <v>42826</v>
      </c>
      <c r="F33" s="2" t="str">
        <f>IF(Tableau1[[#This Row],[Présence amiante]]="oui",(EDATE(Tableau1[[#This Row],[Date dernier contrôle]],36)),"NA")</f>
        <v>NA</v>
      </c>
    </row>
    <row r="34" spans="1:8" ht="14.25" customHeight="1" x14ac:dyDescent="0.25">
      <c r="A34" s="3" t="s">
        <v>6</v>
      </c>
      <c r="B34" s="3" t="s">
        <v>41</v>
      </c>
      <c r="C34" s="3"/>
      <c r="D34" t="s">
        <v>34</v>
      </c>
      <c r="E34" s="1">
        <v>42826</v>
      </c>
      <c r="F34" s="2" t="str">
        <f>IF(Tableau1[[#This Row],[Présence amiante]]="oui",(EDATE(Tableau1[[#This Row],[Date dernier contrôle]],36)),"NA")</f>
        <v>NA</v>
      </c>
    </row>
    <row r="35" spans="1:8" x14ac:dyDescent="0.25">
      <c r="A35" s="3" t="s">
        <v>6</v>
      </c>
      <c r="B35" s="3" t="s">
        <v>43</v>
      </c>
      <c r="C35" s="3"/>
      <c r="D35" t="s">
        <v>34</v>
      </c>
      <c r="E35" s="1">
        <v>39965</v>
      </c>
      <c r="F35" s="2" t="str">
        <f>IF(Tableau1[[#This Row],[Présence amiante]]="oui",(EDATE(Tableau1[[#This Row],[Date dernier contrôle]],36)),"NA")</f>
        <v>NA</v>
      </c>
    </row>
    <row r="36" spans="1:8" ht="28.5" customHeight="1" x14ac:dyDescent="0.25">
      <c r="A36" s="3" t="s">
        <v>6</v>
      </c>
      <c r="B36" s="3" t="s">
        <v>44</v>
      </c>
      <c r="C36" s="3"/>
      <c r="D36" t="s">
        <v>34</v>
      </c>
      <c r="E36" s="1">
        <v>42826</v>
      </c>
      <c r="F36" s="2" t="str">
        <f>IF(Tableau1[[#This Row],[Présence amiante]]="oui",(EDATE(Tableau1[[#This Row],[Date dernier contrôle]],36)),"NA")</f>
        <v>NA</v>
      </c>
    </row>
    <row r="37" spans="1:8" x14ac:dyDescent="0.25">
      <c r="A37" s="3" t="s">
        <v>6</v>
      </c>
      <c r="B37" s="3" t="s">
        <v>45</v>
      </c>
      <c r="C37" s="3"/>
      <c r="D37" t="s">
        <v>34</v>
      </c>
      <c r="E37" s="1">
        <v>42826</v>
      </c>
      <c r="F37" s="2" t="str">
        <f>IF(Tableau1[[#This Row],[Présence amiante]]="oui",(EDATE(Tableau1[[#This Row],[Date dernier contrôle]],36)),"NA")</f>
        <v>NA</v>
      </c>
    </row>
    <row r="38" spans="1:8" x14ac:dyDescent="0.25">
      <c r="A38" s="3" t="s">
        <v>6</v>
      </c>
      <c r="B38" s="3" t="s">
        <v>46</v>
      </c>
      <c r="C38" s="3"/>
      <c r="D38" t="s">
        <v>34</v>
      </c>
      <c r="E38" s="1">
        <v>39965</v>
      </c>
      <c r="F38" s="2" t="str">
        <f>IF(Tableau1[[#This Row],[Présence amiante]]="oui",(EDATE(Tableau1[[#This Row],[Date dernier contrôle]],36)),"NA")</f>
        <v>NA</v>
      </c>
    </row>
    <row r="39" spans="1:8" x14ac:dyDescent="0.25">
      <c r="A39" s="3" t="s">
        <v>6</v>
      </c>
      <c r="B39" s="3" t="s">
        <v>47</v>
      </c>
      <c r="C39" s="3"/>
      <c r="D39" t="s">
        <v>34</v>
      </c>
      <c r="E39" s="1">
        <v>44743</v>
      </c>
      <c r="F39" s="2" t="str">
        <f>IF(Tableau1[[#This Row],[Présence amiante]]="oui",(EDATE(Tableau1[[#This Row],[Date dernier contrôle]],36)),"NA")</f>
        <v>NA</v>
      </c>
    </row>
    <row r="40" spans="1:8" x14ac:dyDescent="0.25">
      <c r="A40" s="3" t="s">
        <v>6</v>
      </c>
      <c r="B40" s="3" t="s">
        <v>48</v>
      </c>
      <c r="C40" s="3"/>
      <c r="D40" t="s">
        <v>34</v>
      </c>
      <c r="E40" s="1">
        <v>44743</v>
      </c>
      <c r="F40" s="2" t="str">
        <f>IF(Tableau1[[#This Row],[Présence amiante]]="oui",(EDATE(Tableau1[[#This Row],[Date dernier contrôle]],36)),"NA")</f>
        <v>NA</v>
      </c>
    </row>
    <row r="41" spans="1:8" x14ac:dyDescent="0.25">
      <c r="A41" s="3" t="s">
        <v>6</v>
      </c>
      <c r="B41" s="3" t="s">
        <v>49</v>
      </c>
      <c r="C41" s="3"/>
      <c r="D41" t="s">
        <v>34</v>
      </c>
      <c r="E41" s="1">
        <v>42856</v>
      </c>
      <c r="F41" s="2" t="str">
        <f>IF(Tableau1[[#This Row],[Présence amiante]]="oui",(EDATE(Tableau1[[#This Row],[Date dernier contrôle]],36)),"NA")</f>
        <v>NA</v>
      </c>
    </row>
    <row r="42" spans="1:8" x14ac:dyDescent="0.25">
      <c r="A42" s="3" t="s">
        <v>6</v>
      </c>
      <c r="B42" s="3" t="s">
        <v>50</v>
      </c>
      <c r="C42" s="3"/>
      <c r="D42" t="s">
        <v>34</v>
      </c>
      <c r="E42" s="1">
        <v>44682</v>
      </c>
      <c r="F42" s="2" t="str">
        <f>IF(Tableau1[[#This Row],[Présence amiante]]="oui",(EDATE(Tableau1[[#This Row],[Date dernier contrôle]],36)),"NA")</f>
        <v>NA</v>
      </c>
    </row>
    <row r="43" spans="1:8" x14ac:dyDescent="0.25">
      <c r="A43" s="3" t="s">
        <v>6</v>
      </c>
      <c r="B43" s="3" t="s">
        <v>51</v>
      </c>
      <c r="C43" s="3"/>
      <c r="D43" t="s">
        <v>34</v>
      </c>
      <c r="E43" s="1">
        <v>44743</v>
      </c>
      <c r="F43" s="2" t="str">
        <f>IF(Tableau1[[#This Row],[Présence amiante]]="oui",(EDATE(Tableau1[[#This Row],[Date dernier contrôle]],36)),"NA")</f>
        <v>NA</v>
      </c>
    </row>
    <row r="44" spans="1:8" x14ac:dyDescent="0.25">
      <c r="A44" s="3" t="s">
        <v>6</v>
      </c>
      <c r="B44" s="3" t="s">
        <v>52</v>
      </c>
      <c r="C44" s="3"/>
      <c r="D44" t="s">
        <v>34</v>
      </c>
      <c r="E44" s="1">
        <v>41760</v>
      </c>
      <c r="F44" s="2" t="str">
        <f>IF(Tableau1[[#This Row],[Présence amiante]]="oui",(EDATE(Tableau1[[#This Row],[Date dernier contrôle]],36)),"NA")</f>
        <v>NA</v>
      </c>
    </row>
    <row r="45" spans="1:8" x14ac:dyDescent="0.25">
      <c r="A45" s="3" t="s">
        <v>6</v>
      </c>
      <c r="B45" s="3" t="s">
        <v>53</v>
      </c>
      <c r="C45" s="3"/>
      <c r="D45" t="s">
        <v>34</v>
      </c>
      <c r="E45" s="1">
        <v>44652</v>
      </c>
      <c r="F45" s="2" t="str">
        <f>IF(Tableau1[[#This Row],[Présence amiante]]="oui",(EDATE(Tableau1[[#This Row],[Date dernier contrôle]],36)),"NA")</f>
        <v>NA</v>
      </c>
    </row>
    <row r="46" spans="1:8" ht="35.25" customHeight="1" x14ac:dyDescent="0.25">
      <c r="A46" s="3" t="s">
        <v>55</v>
      </c>
      <c r="B46" s="3" t="s">
        <v>54</v>
      </c>
      <c r="C46" s="3" t="s">
        <v>138</v>
      </c>
      <c r="D46" t="s">
        <v>34</v>
      </c>
      <c r="E46" s="1">
        <v>41275</v>
      </c>
      <c r="F46" s="2" t="str">
        <f>IF(Tableau1[[#This Row],[Présence amiante]]="oui",(EDATE(Tableau1[[#This Row],[Date dernier contrôle]],36)),"NA")</f>
        <v>NA</v>
      </c>
    </row>
    <row r="47" spans="1:8" ht="49.5" customHeight="1" x14ac:dyDescent="0.25">
      <c r="A47" s="3" t="s">
        <v>133</v>
      </c>
      <c r="B47" s="3" t="s">
        <v>109</v>
      </c>
      <c r="C47" s="5" t="s">
        <v>104</v>
      </c>
      <c r="D47" s="6" t="s">
        <v>149</v>
      </c>
      <c r="E47" s="7">
        <v>35827</v>
      </c>
      <c r="F47" s="2" t="str">
        <f>IF(Tableau1[[#This Row],[Présence amiante]]="oui",(EDATE(Tableau1[[#This Row],[Date dernier contrôle]],36)),"NA")</f>
        <v>NA</v>
      </c>
      <c r="G47" s="2">
        <v>46175</v>
      </c>
      <c r="H47" s="9"/>
    </row>
    <row r="48" spans="1:8" x14ac:dyDescent="0.25">
      <c r="A48" s="3" t="s">
        <v>133</v>
      </c>
      <c r="B48" s="3" t="s">
        <v>105</v>
      </c>
      <c r="C48" s="5" t="s">
        <v>104</v>
      </c>
      <c r="D48" s="6" t="s">
        <v>149</v>
      </c>
      <c r="E48" s="7">
        <v>35827</v>
      </c>
      <c r="F48" s="2" t="str">
        <f>IF(Tableau1[[#This Row],[Présence amiante]]="oui",(EDATE(Tableau1[[#This Row],[Date dernier contrôle]],36)),"NA")</f>
        <v>NA</v>
      </c>
      <c r="G48" s="2">
        <v>46175</v>
      </c>
      <c r="H48" s="9"/>
    </row>
    <row r="49" spans="1:8" x14ac:dyDescent="0.25">
      <c r="A49" s="3" t="s">
        <v>55</v>
      </c>
      <c r="B49" s="3" t="s">
        <v>58</v>
      </c>
      <c r="C49" s="3"/>
      <c r="D49" t="s">
        <v>59</v>
      </c>
      <c r="E49" s="1">
        <v>44075</v>
      </c>
      <c r="F49" s="2" t="str">
        <f>IF(Tableau1[[#This Row],[Présence amiante]]="oui",(EDATE(Tableau1[[#This Row],[Date dernier contrôle]],36)),"NA")</f>
        <v>NA</v>
      </c>
    </row>
    <row r="50" spans="1:8" x14ac:dyDescent="0.25">
      <c r="A50" s="3" t="s">
        <v>55</v>
      </c>
      <c r="B50" s="3" t="s">
        <v>60</v>
      </c>
      <c r="C50" s="3"/>
      <c r="D50" t="s">
        <v>59</v>
      </c>
      <c r="E50" s="1">
        <v>41944</v>
      </c>
      <c r="F50" s="2" t="str">
        <f>IF(Tableau1[[#This Row],[Présence amiante]]="oui",(EDATE(Tableau1[[#This Row],[Date dernier contrôle]],36)),"NA")</f>
        <v>NA</v>
      </c>
    </row>
    <row r="51" spans="1:8" ht="45" x14ac:dyDescent="0.25">
      <c r="A51" s="3" t="s">
        <v>55</v>
      </c>
      <c r="B51" s="3" t="s">
        <v>61</v>
      </c>
      <c r="C51" s="3" t="s">
        <v>139</v>
      </c>
      <c r="D51" t="s">
        <v>8</v>
      </c>
      <c r="E51" s="1">
        <v>45974</v>
      </c>
      <c r="F51" s="2">
        <f>IF(Tableau1[[#This Row],[Présence amiante]]="oui",(EDATE(Tableau1[[#This Row],[Date dernier contrôle]],36)),"NA")</f>
        <v>47070</v>
      </c>
    </row>
    <row r="52" spans="1:8" ht="45" x14ac:dyDescent="0.25">
      <c r="A52" s="3" t="s">
        <v>55</v>
      </c>
      <c r="B52" s="3" t="s">
        <v>62</v>
      </c>
      <c r="C52" s="3" t="s">
        <v>141</v>
      </c>
      <c r="D52" t="s">
        <v>34</v>
      </c>
      <c r="E52" s="1">
        <v>43070</v>
      </c>
      <c r="F52" s="2" t="str">
        <f>IF(Tableau1[[#This Row],[Présence amiante]]="oui",(EDATE(Tableau1[[#This Row],[Date dernier contrôle]],36)),"NA")</f>
        <v>NA</v>
      </c>
    </row>
    <row r="53" spans="1:8" ht="30" x14ac:dyDescent="0.25">
      <c r="A53" s="3" t="s">
        <v>55</v>
      </c>
      <c r="B53" s="3" t="s">
        <v>63</v>
      </c>
      <c r="C53" s="3" t="s">
        <v>140</v>
      </c>
      <c r="D53" t="s">
        <v>8</v>
      </c>
      <c r="E53" s="1">
        <v>45658</v>
      </c>
      <c r="F53" s="2">
        <f>IF(Tableau1[[#This Row],[Présence amiante]]="oui",(EDATE(Tableau1[[#This Row],[Date dernier contrôle]],36)),"NA")</f>
        <v>46753</v>
      </c>
    </row>
    <row r="54" spans="1:8" ht="30" x14ac:dyDescent="0.25">
      <c r="A54" s="3" t="s">
        <v>55</v>
      </c>
      <c r="B54" s="3" t="s">
        <v>64</v>
      </c>
      <c r="C54" s="3" t="s">
        <v>144</v>
      </c>
      <c r="D54" t="s">
        <v>34</v>
      </c>
      <c r="E54" s="1">
        <v>42491</v>
      </c>
      <c r="F54" s="2" t="str">
        <f>IF(Tableau1[[#This Row],[Présence amiante]]="oui",(EDATE(Tableau1[[#This Row],[Date dernier contrôle]],36)),"NA")</f>
        <v>NA</v>
      </c>
    </row>
    <row r="55" spans="1:8" ht="45" x14ac:dyDescent="0.25">
      <c r="A55" s="3" t="s">
        <v>55</v>
      </c>
      <c r="B55" s="3" t="s">
        <v>70</v>
      </c>
      <c r="C55" s="3" t="s">
        <v>132</v>
      </c>
      <c r="D55" t="s">
        <v>8</v>
      </c>
      <c r="E55" s="1">
        <v>44774</v>
      </c>
      <c r="F55" s="2">
        <f>IF(Tableau1[[#This Row],[Présence amiante]]="oui",(EDATE(Tableau1[[#This Row],[Date dernier contrôle]],36)),"NA")</f>
        <v>45870</v>
      </c>
    </row>
    <row r="56" spans="1:8" x14ac:dyDescent="0.25">
      <c r="A56" s="3" t="s">
        <v>65</v>
      </c>
      <c r="B56" s="3" t="s">
        <v>66</v>
      </c>
      <c r="C56" s="3" t="s">
        <v>127</v>
      </c>
      <c r="D56" t="s">
        <v>34</v>
      </c>
      <c r="E56" s="1">
        <v>45610</v>
      </c>
      <c r="F56" s="2" t="str">
        <f>IF(Tableau1[[#This Row],[Présence amiante]]="oui",(EDATE(Tableau1[[#This Row],[Date dernier contrôle]],36)),"NA")</f>
        <v>NA</v>
      </c>
    </row>
    <row r="57" spans="1:8" x14ac:dyDescent="0.25">
      <c r="A57" s="3" t="s">
        <v>65</v>
      </c>
      <c r="B57" s="3" t="s">
        <v>67</v>
      </c>
      <c r="C57" s="3" t="s">
        <v>128</v>
      </c>
      <c r="D57" t="s">
        <v>59</v>
      </c>
      <c r="E57" s="1">
        <v>43571</v>
      </c>
      <c r="F57" s="2" t="str">
        <f>IF(Tableau1[[#This Row],[Présence amiante]]="oui",(EDATE(Tableau1[[#This Row],[Date dernier contrôle]],36)),"NA")</f>
        <v>NA</v>
      </c>
    </row>
    <row r="58" spans="1:8" x14ac:dyDescent="0.25">
      <c r="A58" s="3" t="s">
        <v>65</v>
      </c>
      <c r="B58" s="3" t="s">
        <v>68</v>
      </c>
      <c r="C58" s="3" t="s">
        <v>129</v>
      </c>
      <c r="D58" t="s">
        <v>8</v>
      </c>
      <c r="E58" s="1">
        <v>44774</v>
      </c>
      <c r="F58" s="2">
        <f>IF(Tableau1[[#This Row],[Présence amiante]]="oui",(EDATE(Tableau1[[#This Row],[Date dernier contrôle]],36)),"NA")</f>
        <v>45870</v>
      </c>
    </row>
    <row r="59" spans="1:8" x14ac:dyDescent="0.25">
      <c r="A59" s="3" t="s">
        <v>133</v>
      </c>
      <c r="B59" s="3" t="s">
        <v>107</v>
      </c>
      <c r="C59" s="20"/>
      <c r="D59" s="21" t="s">
        <v>34</v>
      </c>
      <c r="E59" s="22">
        <v>42156</v>
      </c>
      <c r="F59" s="2" t="str">
        <f>IF(Tableau1[[#This Row],[Présence amiante]]="oui",(EDATE(Tableau1[[#This Row],[Date dernier contrôle]],36)),"NA")</f>
        <v>NA</v>
      </c>
      <c r="G59" s="2">
        <v>46175</v>
      </c>
    </row>
    <row r="60" spans="1:8" x14ac:dyDescent="0.25">
      <c r="A60" s="3" t="s">
        <v>133</v>
      </c>
      <c r="B60" s="3" t="s">
        <v>108</v>
      </c>
      <c r="C60" s="5" t="s">
        <v>104</v>
      </c>
      <c r="D60" s="6" t="s">
        <v>149</v>
      </c>
      <c r="E60" s="7">
        <v>35827</v>
      </c>
      <c r="F60" s="2" t="str">
        <f>IF(Tableau1[[#This Row],[Présence amiante]]="oui",(EDATE(Tableau1[[#This Row],[Date dernier contrôle]],36)),"NA")</f>
        <v>NA</v>
      </c>
      <c r="G60" s="2">
        <v>46175</v>
      </c>
      <c r="H60" s="9"/>
    </row>
    <row r="61" spans="1:8" x14ac:dyDescent="0.25">
      <c r="A61" s="3" t="s">
        <v>133</v>
      </c>
      <c r="B61" s="3" t="s">
        <v>101</v>
      </c>
      <c r="C61" s="5" t="s">
        <v>104</v>
      </c>
      <c r="D61" s="6" t="s">
        <v>149</v>
      </c>
      <c r="E61" s="7">
        <v>35827</v>
      </c>
      <c r="F61" s="2" t="str">
        <f>IF(Tableau1[[#This Row],[Présence amiante]]="oui",(EDATE(Tableau1[[#This Row],[Date dernier contrôle]],36)),"NA")</f>
        <v>NA</v>
      </c>
      <c r="G61" s="2">
        <v>46175</v>
      </c>
      <c r="H61" s="9"/>
    </row>
    <row r="62" spans="1:8" x14ac:dyDescent="0.25">
      <c r="A62" s="3" t="s">
        <v>133</v>
      </c>
      <c r="B62" s="3" t="s">
        <v>106</v>
      </c>
      <c r="C62" s="5" t="s">
        <v>104</v>
      </c>
      <c r="D62" s="6" t="s">
        <v>149</v>
      </c>
      <c r="E62" s="7">
        <v>35827</v>
      </c>
      <c r="F62" s="2" t="str">
        <f>IF(Tableau1[[#This Row],[Présence amiante]]="oui",(EDATE(Tableau1[[#This Row],[Date dernier contrôle]],36)),"NA")</f>
        <v>NA</v>
      </c>
      <c r="G62" s="2">
        <v>46175</v>
      </c>
      <c r="H62" s="9"/>
    </row>
    <row r="63" spans="1:8" x14ac:dyDescent="0.25">
      <c r="A63" s="3" t="s">
        <v>133</v>
      </c>
      <c r="B63" s="3" t="s">
        <v>110</v>
      </c>
      <c r="C63" s="5" t="s">
        <v>104</v>
      </c>
      <c r="D63" s="6" t="s">
        <v>8</v>
      </c>
      <c r="E63" s="7">
        <v>35855</v>
      </c>
      <c r="F63" s="2">
        <f>IF(Tableau1[[#This Row],[Présence amiante]]="oui",(EDATE(Tableau1[[#This Row],[Date dernier contrôle]],36)),"NA")</f>
        <v>36951</v>
      </c>
      <c r="G63" s="2">
        <v>46175</v>
      </c>
      <c r="H63" s="9"/>
    </row>
    <row r="64" spans="1:8" ht="30" x14ac:dyDescent="0.25">
      <c r="A64" s="3" t="s">
        <v>6</v>
      </c>
      <c r="B64" s="3" t="s">
        <v>38</v>
      </c>
      <c r="C64" s="3"/>
      <c r="D64" t="s">
        <v>39</v>
      </c>
      <c r="E64" s="1">
        <v>39873</v>
      </c>
      <c r="F64" s="2" t="str">
        <f>IF(Tableau1[[#This Row],[Présence amiante]]="oui",(EDATE(Tableau1[[#This Row],[Date dernier contrôle]],36)),"NA")</f>
        <v>NA</v>
      </c>
      <c r="H64" s="9"/>
    </row>
    <row r="65" spans="1:8" x14ac:dyDescent="0.25">
      <c r="A65" s="3" t="s">
        <v>77</v>
      </c>
      <c r="B65" s="3" t="s">
        <v>79</v>
      </c>
      <c r="C65" s="3"/>
      <c r="D65" t="s">
        <v>8</v>
      </c>
      <c r="E65" s="1">
        <v>39965</v>
      </c>
      <c r="F65" s="2">
        <f>IF(Tableau1[[#This Row],[Présence amiante]]="oui",(EDATE(Tableau1[[#This Row],[Date dernier contrôle]],36)),"NA")</f>
        <v>41061</v>
      </c>
      <c r="H65" s="9"/>
    </row>
    <row r="66" spans="1:8" x14ac:dyDescent="0.25">
      <c r="A66" s="3" t="s">
        <v>77</v>
      </c>
      <c r="B66" s="3" t="s">
        <v>80</v>
      </c>
      <c r="C66" s="3"/>
      <c r="D66" t="s">
        <v>8</v>
      </c>
      <c r="E66" s="1">
        <v>39965</v>
      </c>
      <c r="F66" s="2">
        <f>IF(Tableau1[[#This Row],[Présence amiante]]="oui",(EDATE(Tableau1[[#This Row],[Date dernier contrôle]],36)),"NA")</f>
        <v>41061</v>
      </c>
      <c r="H66" s="9"/>
    </row>
    <row r="67" spans="1:8" x14ac:dyDescent="0.25">
      <c r="A67" s="3" t="s">
        <v>77</v>
      </c>
      <c r="B67" s="3" t="s">
        <v>78</v>
      </c>
      <c r="C67" s="3"/>
      <c r="D67" t="s">
        <v>34</v>
      </c>
      <c r="E67" s="1">
        <v>43497</v>
      </c>
      <c r="F67" s="2" t="str">
        <f>IF(Tableau1[[#This Row],[Présence amiante]]="oui",(EDATE(Tableau1[[#This Row],[Date dernier contrôle]],36)),"NA")</f>
        <v>NA</v>
      </c>
    </row>
    <row r="68" spans="1:8" x14ac:dyDescent="0.25">
      <c r="A68" s="3" t="s">
        <v>77</v>
      </c>
      <c r="B68" s="3" t="s">
        <v>83</v>
      </c>
      <c r="C68" s="3"/>
      <c r="D68" t="s">
        <v>8</v>
      </c>
      <c r="E68" s="1">
        <v>39965</v>
      </c>
      <c r="F68" s="2">
        <f>IF(Tableau1[[#This Row],[Présence amiante]]="oui",(EDATE(Tableau1[[#This Row],[Date dernier contrôle]],36)),"NA")</f>
        <v>41061</v>
      </c>
      <c r="H68" s="9"/>
    </row>
    <row r="69" spans="1:8" x14ac:dyDescent="0.25">
      <c r="A69" s="3" t="s">
        <v>77</v>
      </c>
      <c r="B69" s="3" t="s">
        <v>81</v>
      </c>
      <c r="C69" s="3"/>
      <c r="D69" t="s">
        <v>8</v>
      </c>
      <c r="E69" s="1">
        <v>39965</v>
      </c>
      <c r="F69" s="2">
        <f>IF(Tableau1[[#This Row],[Présence amiante]]="oui",(EDATE(Tableau1[[#This Row],[Date dernier contrôle]],36)),"NA")</f>
        <v>41061</v>
      </c>
      <c r="H69" s="9"/>
    </row>
    <row r="70" spans="1:8" x14ac:dyDescent="0.25">
      <c r="A70" s="3" t="s">
        <v>77</v>
      </c>
      <c r="B70" s="3" t="s">
        <v>82</v>
      </c>
      <c r="C70" s="3"/>
      <c r="D70" t="s">
        <v>8</v>
      </c>
      <c r="E70" s="1">
        <v>39965</v>
      </c>
      <c r="F70" s="2">
        <f>IF(Tableau1[[#This Row],[Présence amiante]]="oui",(EDATE(Tableau1[[#This Row],[Date dernier contrôle]],36)),"NA")</f>
        <v>41061</v>
      </c>
      <c r="H70" s="9"/>
    </row>
    <row r="71" spans="1:8" x14ac:dyDescent="0.25">
      <c r="A71" s="3" t="s">
        <v>77</v>
      </c>
      <c r="B71" s="3" t="s">
        <v>84</v>
      </c>
      <c r="C71" s="3"/>
      <c r="D71" t="s">
        <v>8</v>
      </c>
      <c r="E71" s="1">
        <v>39965</v>
      </c>
      <c r="F71" s="2">
        <f>IF(Tableau1[[#This Row],[Présence amiante]]="oui",(EDATE(Tableau1[[#This Row],[Date dernier contrôle]],36)),"NA")</f>
        <v>41061</v>
      </c>
      <c r="H71" s="9"/>
    </row>
    <row r="72" spans="1:8" x14ac:dyDescent="0.25">
      <c r="A72" s="3" t="s">
        <v>77</v>
      </c>
      <c r="B72" s="3" t="s">
        <v>85</v>
      </c>
      <c r="C72" s="3"/>
      <c r="D72" t="s">
        <v>8</v>
      </c>
      <c r="E72" s="1">
        <v>39965</v>
      </c>
      <c r="F72" s="2">
        <f>IF(Tableau1[[#This Row],[Présence amiante]]="oui",(EDATE(Tableau1[[#This Row],[Date dernier contrôle]],36)),"NA")</f>
        <v>41061</v>
      </c>
      <c r="H72" s="9"/>
    </row>
    <row r="73" spans="1:8" x14ac:dyDescent="0.25">
      <c r="A73" s="3" t="s">
        <v>77</v>
      </c>
      <c r="B73" s="3" t="s">
        <v>86</v>
      </c>
      <c r="C73" s="3"/>
      <c r="D73" t="s">
        <v>8</v>
      </c>
      <c r="E73" s="1">
        <v>39965</v>
      </c>
      <c r="F73" s="2">
        <f>IF(Tableau1[[#This Row],[Présence amiante]]="oui",(EDATE(Tableau1[[#This Row],[Date dernier contrôle]],36)),"NA")</f>
        <v>41061</v>
      </c>
      <c r="H73" s="9"/>
    </row>
    <row r="74" spans="1:8" x14ac:dyDescent="0.25">
      <c r="A74" s="3" t="s">
        <v>77</v>
      </c>
      <c r="B74" s="3" t="s">
        <v>87</v>
      </c>
      <c r="C74" s="3"/>
      <c r="D74" t="s">
        <v>8</v>
      </c>
      <c r="E74" s="1">
        <v>39965</v>
      </c>
      <c r="F74" s="2">
        <f>IF(Tableau1[[#This Row],[Présence amiante]]="oui",(EDATE(Tableau1[[#This Row],[Date dernier contrôle]],36)),"NA")</f>
        <v>41061</v>
      </c>
      <c r="H74" s="9"/>
    </row>
    <row r="75" spans="1:8" x14ac:dyDescent="0.25">
      <c r="A75" s="3" t="s">
        <v>77</v>
      </c>
      <c r="B75" s="3" t="s">
        <v>88</v>
      </c>
      <c r="C75" s="3"/>
      <c r="D75" t="s">
        <v>8</v>
      </c>
      <c r="E75" s="1">
        <v>39965</v>
      </c>
      <c r="F75" s="2">
        <f>IF(Tableau1[[#This Row],[Présence amiante]]="oui",(EDATE(Tableau1[[#This Row],[Date dernier contrôle]],36)),"NA")</f>
        <v>41061</v>
      </c>
      <c r="H75" s="9"/>
    </row>
    <row r="76" spans="1:8" x14ac:dyDescent="0.25">
      <c r="A76" s="3" t="s">
        <v>77</v>
      </c>
      <c r="B76" s="3" t="s">
        <v>89</v>
      </c>
      <c r="C76" s="3"/>
      <c r="D76" t="s">
        <v>8</v>
      </c>
      <c r="E76" s="1">
        <v>39965</v>
      </c>
      <c r="F76" s="2">
        <f>IF(Tableau1[[#This Row],[Présence amiante]]="oui",(EDATE(Tableau1[[#This Row],[Date dernier contrôle]],36)),"NA")</f>
        <v>41061</v>
      </c>
      <c r="H76" s="9"/>
    </row>
    <row r="77" spans="1:8" x14ac:dyDescent="0.25">
      <c r="A77" s="3" t="s">
        <v>77</v>
      </c>
      <c r="B77" s="3" t="s">
        <v>90</v>
      </c>
      <c r="C77" s="3"/>
      <c r="D77" t="s">
        <v>8</v>
      </c>
      <c r="E77" s="1">
        <v>39965</v>
      </c>
      <c r="F77" s="2">
        <f>IF(Tableau1[[#This Row],[Présence amiante]]="oui",(EDATE(Tableau1[[#This Row],[Date dernier contrôle]],36)),"NA")</f>
        <v>41061</v>
      </c>
      <c r="H77" s="9"/>
    </row>
    <row r="78" spans="1:8" x14ac:dyDescent="0.25">
      <c r="A78" s="3" t="s">
        <v>77</v>
      </c>
      <c r="B78" s="3" t="s">
        <v>91</v>
      </c>
      <c r="C78" s="3"/>
      <c r="D78" t="s">
        <v>8</v>
      </c>
      <c r="E78" s="1">
        <v>39965</v>
      </c>
      <c r="F78" s="2">
        <f>IF(Tableau1[[#This Row],[Présence amiante]]="oui",(EDATE(Tableau1[[#This Row],[Date dernier contrôle]],36)),"NA")</f>
        <v>41061</v>
      </c>
      <c r="H78" s="9"/>
    </row>
    <row r="79" spans="1:8" x14ac:dyDescent="0.25">
      <c r="A79" s="3" t="s">
        <v>77</v>
      </c>
      <c r="B79" s="3" t="s">
        <v>92</v>
      </c>
      <c r="C79" s="3"/>
      <c r="D79" t="s">
        <v>8</v>
      </c>
      <c r="E79" s="1">
        <v>39965</v>
      </c>
      <c r="F79" s="2">
        <f>IF(Tableau1[[#This Row],[Présence amiante]]="oui",(EDATE(Tableau1[[#This Row],[Date dernier contrôle]],36)),"NA")</f>
        <v>41061</v>
      </c>
      <c r="H79" s="9"/>
    </row>
    <row r="80" spans="1:8" ht="30" x14ac:dyDescent="0.25">
      <c r="A80" s="3" t="s">
        <v>134</v>
      </c>
      <c r="B80" s="3" t="s">
        <v>114</v>
      </c>
      <c r="C80" s="3" t="s">
        <v>145</v>
      </c>
      <c r="D80" t="s">
        <v>8</v>
      </c>
      <c r="E80" s="1">
        <v>40909</v>
      </c>
      <c r="F80" s="2">
        <f>IF(Tableau1[[#This Row],[Présence amiante]]="oui",(EDATE(Tableau1[[#This Row],[Date dernier contrôle]],36)),"NA")</f>
        <v>42005</v>
      </c>
      <c r="G80" s="2">
        <v>46164</v>
      </c>
    </row>
    <row r="81" spans="1:8" x14ac:dyDescent="0.25">
      <c r="A81" s="3" t="s">
        <v>134</v>
      </c>
      <c r="B81" s="3" t="s">
        <v>115</v>
      </c>
      <c r="C81" s="3" t="s">
        <v>146</v>
      </c>
      <c r="D81" t="s">
        <v>8</v>
      </c>
      <c r="E81" s="1">
        <v>41548</v>
      </c>
      <c r="F81" s="2">
        <f>IF(Tableau1[[#This Row],[Présence amiante]]="oui",(EDATE(Tableau1[[#This Row],[Date dernier contrôle]],36)),"NA")</f>
        <v>42644</v>
      </c>
      <c r="G81" s="2">
        <v>46164</v>
      </c>
    </row>
    <row r="82" spans="1:8" x14ac:dyDescent="0.25">
      <c r="A82" s="3" t="s">
        <v>77</v>
      </c>
      <c r="B82" s="3" t="s">
        <v>93</v>
      </c>
      <c r="C82" s="3"/>
      <c r="D82" t="s">
        <v>8</v>
      </c>
      <c r="E82" s="1">
        <v>46082</v>
      </c>
      <c r="F82" s="2">
        <f>IF(Tableau1[[#This Row],[Présence amiante]]="oui",(EDATE(Tableau1[[#This Row],[Date dernier contrôle]],36)),"NA")</f>
        <v>47178</v>
      </c>
    </row>
    <row r="83" spans="1:8" x14ac:dyDescent="0.25">
      <c r="A83" s="3" t="s">
        <v>77</v>
      </c>
      <c r="B83" s="3" t="s">
        <v>74</v>
      </c>
      <c r="C83" s="3"/>
      <c r="D83" t="s">
        <v>8</v>
      </c>
      <c r="E83" s="1">
        <v>41579</v>
      </c>
      <c r="F83" s="2">
        <f>IF(Tableau1[[#This Row],[Présence amiante]]="oui",(EDATE(Tableau1[[#This Row],[Date dernier contrôle]],36)),"NA")</f>
        <v>42675</v>
      </c>
    </row>
    <row r="84" spans="1:8" x14ac:dyDescent="0.25">
      <c r="A84" s="3" t="s">
        <v>133</v>
      </c>
      <c r="B84" s="3" t="s">
        <v>111</v>
      </c>
      <c r="C84" s="3"/>
      <c r="D84" t="s">
        <v>8</v>
      </c>
      <c r="E84" s="1">
        <v>41791</v>
      </c>
      <c r="F84" s="2">
        <f>IF(Tableau1[[#This Row],[Présence amiante]]="oui",(EDATE(Tableau1[[#This Row],[Date dernier contrôle]],36)),"NA")</f>
        <v>42887</v>
      </c>
      <c r="G84" s="2">
        <v>46175</v>
      </c>
      <c r="H84" t="s">
        <v>157</v>
      </c>
    </row>
    <row r="85" spans="1:8" x14ac:dyDescent="0.25">
      <c r="A85" s="3" t="s">
        <v>77</v>
      </c>
      <c r="B85" s="3" t="s">
        <v>73</v>
      </c>
      <c r="C85" s="3"/>
      <c r="D85" t="s">
        <v>8</v>
      </c>
      <c r="E85" s="1">
        <v>41821</v>
      </c>
      <c r="F85" s="2">
        <f>IF(Tableau1[[#This Row],[Présence amiante]]="oui",(EDATE(Tableau1[[#This Row],[Date dernier contrôle]],36)),"NA")</f>
        <v>42917</v>
      </c>
    </row>
    <row r="86" spans="1:8" x14ac:dyDescent="0.25">
      <c r="A86" s="3" t="s">
        <v>77</v>
      </c>
      <c r="B86" s="3" t="s">
        <v>75</v>
      </c>
      <c r="C86" s="3"/>
      <c r="D86" t="s">
        <v>8</v>
      </c>
      <c r="E86" s="1">
        <v>41821</v>
      </c>
      <c r="F86" s="2">
        <f>IF(Tableau1[[#This Row],[Présence amiante]]="oui",(EDATE(Tableau1[[#This Row],[Date dernier contrôle]],36)),"NA")</f>
        <v>42917</v>
      </c>
    </row>
    <row r="87" spans="1:8" x14ac:dyDescent="0.25">
      <c r="A87" s="3" t="s">
        <v>77</v>
      </c>
      <c r="B87" s="3" t="s">
        <v>76</v>
      </c>
      <c r="C87" s="3"/>
      <c r="D87" t="s">
        <v>8</v>
      </c>
      <c r="E87" s="1">
        <v>41821</v>
      </c>
      <c r="F87" s="2">
        <f>IF(Tableau1[[#This Row],[Présence amiante]]="oui",(EDATE(Tableau1[[#This Row],[Date dernier contrôle]],36)),"NA")</f>
        <v>42917</v>
      </c>
    </row>
    <row r="88" spans="1:8" ht="30" x14ac:dyDescent="0.25">
      <c r="A88" s="3" t="s">
        <v>134</v>
      </c>
      <c r="B88" s="3" t="s">
        <v>112</v>
      </c>
      <c r="C88" s="3" t="s">
        <v>147</v>
      </c>
      <c r="D88" t="s">
        <v>8</v>
      </c>
      <c r="E88" s="1">
        <v>44713</v>
      </c>
      <c r="F88" s="2">
        <f>IF(Tableau1[[#This Row],[Présence amiante]]="oui",(EDATE(Tableau1[[#This Row],[Date dernier contrôle]],36)),"NA")</f>
        <v>45809</v>
      </c>
      <c r="G88" s="2">
        <v>46164</v>
      </c>
    </row>
    <row r="89" spans="1:8" x14ac:dyDescent="0.25">
      <c r="A89" s="3" t="s">
        <v>133</v>
      </c>
      <c r="B89" s="3" t="s">
        <v>100</v>
      </c>
      <c r="C89" s="3"/>
      <c r="D89" t="s">
        <v>8</v>
      </c>
      <c r="E89" s="1">
        <v>41821</v>
      </c>
      <c r="F89" s="2">
        <f>IF(Tableau1[[#This Row],[Présence amiante]]="oui",(EDATE(Tableau1[[#This Row],[Date dernier contrôle]],36)),"NA")</f>
        <v>42917</v>
      </c>
      <c r="G89" s="2">
        <v>46175</v>
      </c>
      <c r="H89" t="s">
        <v>159</v>
      </c>
    </row>
    <row r="90" spans="1:8" ht="45" x14ac:dyDescent="0.25">
      <c r="A90" s="3" t="s">
        <v>55</v>
      </c>
      <c r="B90" s="3" t="s">
        <v>56</v>
      </c>
      <c r="C90" s="3" t="s">
        <v>143</v>
      </c>
      <c r="D90" t="s">
        <v>8</v>
      </c>
      <c r="E90" s="1">
        <v>42064</v>
      </c>
      <c r="F90" s="2">
        <f>IF(Tableau1[[#This Row],[Présence amiante]]="oui",(EDATE(Tableau1[[#This Row],[Date dernier contrôle]],36)),"NA")</f>
        <v>43160</v>
      </c>
    </row>
    <row r="91" spans="1:8" x14ac:dyDescent="0.25">
      <c r="A91" s="3" t="s">
        <v>6</v>
      </c>
      <c r="B91" s="3" t="s">
        <v>16</v>
      </c>
      <c r="C91" s="3"/>
      <c r="D91" t="s">
        <v>8</v>
      </c>
      <c r="E91" s="1">
        <v>42826</v>
      </c>
      <c r="F91" s="2">
        <f>IF(Tableau1[[#This Row],[Présence amiante]]="oui",(EDATE(Tableau1[[#This Row],[Date dernier contrôle]],36)),"NA")</f>
        <v>43922</v>
      </c>
    </row>
    <row r="92" spans="1:8" x14ac:dyDescent="0.25">
      <c r="A92" s="3" t="s">
        <v>77</v>
      </c>
      <c r="B92" t="s">
        <v>97</v>
      </c>
      <c r="C92" s="3"/>
      <c r="D92" t="s">
        <v>8</v>
      </c>
      <c r="E92" s="1">
        <v>42948</v>
      </c>
      <c r="F92" s="2">
        <f>IF(Tableau1[[#This Row],[Présence amiante]]="oui",(EDATE(Tableau1[[#This Row],[Date dernier contrôle]],36)),"NA")</f>
        <v>44044</v>
      </c>
      <c r="H92" t="s">
        <v>151</v>
      </c>
    </row>
    <row r="93" spans="1:8" x14ac:dyDescent="0.25">
      <c r="A93" s="3" t="s">
        <v>135</v>
      </c>
      <c r="B93" s="3" t="s">
        <v>116</v>
      </c>
      <c r="C93" s="3"/>
      <c r="D93" t="s">
        <v>59</v>
      </c>
      <c r="E93" s="1">
        <v>43132</v>
      </c>
      <c r="F93" s="2" t="str">
        <f>IF(Tableau1[[#This Row],[Présence amiante]]="oui",(EDATE(Tableau1[[#This Row],[Date dernier contrôle]],36)),"NA")</f>
        <v>NA</v>
      </c>
    </row>
    <row r="94" spans="1:8" x14ac:dyDescent="0.25">
      <c r="A94" s="3" t="s">
        <v>136</v>
      </c>
      <c r="B94" s="3" t="s">
        <v>124</v>
      </c>
      <c r="C94" s="3"/>
      <c r="D94" t="s">
        <v>8</v>
      </c>
      <c r="E94" s="1">
        <v>42948</v>
      </c>
      <c r="F94" s="2">
        <f>IF(Tableau1[[#This Row],[Présence amiante]]="oui",(EDATE(Tableau1[[#This Row],[Date dernier contrôle]],36)),"NA")</f>
        <v>44044</v>
      </c>
      <c r="H94" t="s">
        <v>153</v>
      </c>
    </row>
    <row r="95" spans="1:8" ht="30" x14ac:dyDescent="0.25">
      <c r="A95" s="3" t="s">
        <v>135</v>
      </c>
      <c r="B95" s="3" t="s">
        <v>118</v>
      </c>
      <c r="C95" s="3" t="s">
        <v>148</v>
      </c>
      <c r="D95" t="s">
        <v>8</v>
      </c>
      <c r="E95" s="1">
        <v>45170</v>
      </c>
      <c r="F95" s="2">
        <f>IF(Tableau1[[#This Row],[Présence amiante]]="oui",(EDATE(Tableau1[[#This Row],[Date dernier contrôle]],36)),"NA")</f>
        <v>46266</v>
      </c>
    </row>
    <row r="96" spans="1:8" ht="45" x14ac:dyDescent="0.25">
      <c r="A96" s="3" t="s">
        <v>77</v>
      </c>
      <c r="B96" s="3" t="s">
        <v>71</v>
      </c>
      <c r="C96" s="3" t="s">
        <v>125</v>
      </c>
      <c r="D96" t="s">
        <v>8</v>
      </c>
      <c r="E96" s="1">
        <v>43313</v>
      </c>
      <c r="F96" s="2">
        <f>IF(Tableau1[[#This Row],[Présence amiante]]="oui",(EDATE(Tableau1[[#This Row],[Date dernier contrôle]],36)),"NA")</f>
        <v>44409</v>
      </c>
      <c r="H96" s="8"/>
    </row>
    <row r="97" spans="1:8" ht="45" x14ac:dyDescent="0.25">
      <c r="A97" s="3" t="s">
        <v>77</v>
      </c>
      <c r="B97" s="3" t="s">
        <v>72</v>
      </c>
      <c r="C97" s="4" t="s">
        <v>126</v>
      </c>
      <c r="D97" t="s">
        <v>8</v>
      </c>
      <c r="E97" s="1">
        <v>43497</v>
      </c>
      <c r="F97" s="2">
        <f>IF(Tableau1[[#This Row],[Présence amiante]]="oui",(EDATE(Tableau1[[#This Row],[Date dernier contrôle]],36)),"NA")</f>
        <v>44593</v>
      </c>
    </row>
    <row r="98" spans="1:8" ht="30" x14ac:dyDescent="0.25">
      <c r="A98" s="3" t="s">
        <v>135</v>
      </c>
      <c r="B98" s="3" t="s">
        <v>122</v>
      </c>
      <c r="C98" s="3"/>
      <c r="D98" t="s">
        <v>8</v>
      </c>
      <c r="E98" s="1">
        <v>43497</v>
      </c>
      <c r="F98" s="2">
        <f>IF(Tableau1[[#This Row],[Présence amiante]]="oui",(EDATE(Tableau1[[#This Row],[Date dernier contrôle]],36)),"NA")</f>
        <v>44593</v>
      </c>
    </row>
    <row r="99" spans="1:8" ht="30" x14ac:dyDescent="0.25">
      <c r="A99" s="3" t="s">
        <v>133</v>
      </c>
      <c r="B99" s="3" t="s">
        <v>137</v>
      </c>
      <c r="C99" s="3" t="s">
        <v>99</v>
      </c>
      <c r="D99" t="s">
        <v>34</v>
      </c>
      <c r="F99" s="2" t="str">
        <f>IF(Tableau1[[#This Row],[Présence amiante]]="oui",(EDATE(Tableau1[[#This Row],[Date dernier contrôle]],36)),"NA")</f>
        <v>NA</v>
      </c>
      <c r="G99" s="2">
        <v>46175</v>
      </c>
    </row>
    <row r="100" spans="1:8" ht="45" x14ac:dyDescent="0.25">
      <c r="A100" s="3" t="s">
        <v>55</v>
      </c>
      <c r="B100" s="3" t="s">
        <v>57</v>
      </c>
      <c r="C100" s="3" t="s">
        <v>142</v>
      </c>
      <c r="D100" t="s">
        <v>8</v>
      </c>
      <c r="E100" s="1">
        <v>43525</v>
      </c>
      <c r="F100" s="2">
        <f>IF(Tableau1[[#This Row],[Présence amiante]]="oui",(EDATE(Tableau1[[#This Row],[Date dernier contrôle]],36)),"NA")</f>
        <v>44621</v>
      </c>
    </row>
    <row r="101" spans="1:8" x14ac:dyDescent="0.25">
      <c r="A101" s="3" t="s">
        <v>6</v>
      </c>
      <c r="B101" s="3" t="s">
        <v>31</v>
      </c>
      <c r="C101" s="3"/>
      <c r="D101" t="s">
        <v>8</v>
      </c>
      <c r="E101" s="1">
        <v>43739</v>
      </c>
      <c r="F101" s="2">
        <f>IF(Tableau1[[#This Row],[Présence amiante]]="oui",(EDATE(Tableau1[[#This Row],[Date dernier contrôle]],36)),"NA")</f>
        <v>44835</v>
      </c>
    </row>
    <row r="102" spans="1:8" x14ac:dyDescent="0.25">
      <c r="A102" s="3" t="s">
        <v>6</v>
      </c>
      <c r="B102" s="3" t="s">
        <v>30</v>
      </c>
      <c r="C102" s="3"/>
      <c r="D102" t="s">
        <v>8</v>
      </c>
      <c r="E102" s="1">
        <v>44136</v>
      </c>
      <c r="F102" s="2">
        <f>IF(Tableau1[[#This Row],[Présence amiante]]="oui",(EDATE(Tableau1[[#This Row],[Date dernier contrôle]],36)),"NA")</f>
        <v>45231</v>
      </c>
      <c r="H102" s="8"/>
    </row>
    <row r="103" spans="1:8" x14ac:dyDescent="0.25">
      <c r="A103" s="3" t="s">
        <v>135</v>
      </c>
      <c r="B103" s="3" t="s">
        <v>120</v>
      </c>
      <c r="C103" s="3"/>
      <c r="D103" t="s">
        <v>8</v>
      </c>
      <c r="E103" s="1">
        <v>44136</v>
      </c>
      <c r="F103" s="2">
        <f>IF(Tableau1[[#This Row],[Présence amiante]]="oui",(EDATE(Tableau1[[#This Row],[Date dernier contrôle]],36)),"NA")</f>
        <v>45231</v>
      </c>
    </row>
    <row r="104" spans="1:8" x14ac:dyDescent="0.25">
      <c r="A104" s="3" t="s">
        <v>135</v>
      </c>
      <c r="B104" s="3" t="s">
        <v>121</v>
      </c>
      <c r="C104" s="3"/>
      <c r="D104" t="s">
        <v>8</v>
      </c>
      <c r="E104" s="1">
        <v>44136</v>
      </c>
      <c r="F104" s="2">
        <f>IF(Tableau1[[#This Row],[Présence amiante]]="oui",(EDATE(Tableau1[[#This Row],[Date dernier contrôle]],36)),"NA")</f>
        <v>45231</v>
      </c>
    </row>
    <row r="105" spans="1:8" ht="30" x14ac:dyDescent="0.25">
      <c r="A105" s="3" t="s">
        <v>134</v>
      </c>
      <c r="B105" s="3" t="s">
        <v>113</v>
      </c>
      <c r="C105" s="3" t="s">
        <v>147</v>
      </c>
      <c r="D105" t="s">
        <v>8</v>
      </c>
      <c r="E105" s="1">
        <v>44166</v>
      </c>
      <c r="F105" s="2">
        <f>IF(Tableau1[[#This Row],[Présence amiante]]="oui",(EDATE(Tableau1[[#This Row],[Date dernier contrôle]],36)),"NA")</f>
        <v>45261</v>
      </c>
      <c r="G105" s="2">
        <v>46164</v>
      </c>
      <c r="H105" s="10" t="s">
        <v>156</v>
      </c>
    </row>
    <row r="106" spans="1:8" x14ac:dyDescent="0.25">
      <c r="A106" s="3" t="s">
        <v>65</v>
      </c>
      <c r="B106" s="3" t="s">
        <v>130</v>
      </c>
      <c r="C106" s="3" t="s">
        <v>131</v>
      </c>
      <c r="D106" t="s">
        <v>8</v>
      </c>
      <c r="E106" s="1">
        <v>44409</v>
      </c>
      <c r="F106" s="2">
        <f>IF(Tableau1[[#This Row],[Présence amiante]]="oui",(EDATE(Tableau1[[#This Row],[Date dernier contrôle]],36)),"NA")</f>
        <v>45505</v>
      </c>
    </row>
    <row r="107" spans="1:8" x14ac:dyDescent="0.25">
      <c r="A107" s="3" t="s">
        <v>136</v>
      </c>
      <c r="B107" s="3" t="s">
        <v>123</v>
      </c>
      <c r="C107" s="3"/>
      <c r="D107" t="s">
        <v>8</v>
      </c>
      <c r="E107" s="1">
        <v>44440</v>
      </c>
      <c r="F107" s="2">
        <f>IF(Tableau1[[#This Row],[Présence amiante]]="oui",(EDATE(Tableau1[[#This Row],[Date dernier contrôle]],36)),"NA")</f>
        <v>45536</v>
      </c>
      <c r="H107" t="s">
        <v>155</v>
      </c>
    </row>
    <row r="108" spans="1:8" ht="60" x14ac:dyDescent="0.25">
      <c r="A108" s="3" t="s">
        <v>77</v>
      </c>
      <c r="B108" t="s">
        <v>96</v>
      </c>
      <c r="C108" s="3" t="s">
        <v>95</v>
      </c>
      <c r="D108" t="s">
        <v>8</v>
      </c>
      <c r="E108" s="1">
        <v>44927</v>
      </c>
      <c r="F108" s="2">
        <f>IF(Tableau1[[#This Row],[Présence amiante]]="oui",(EDATE(Tableau1[[#This Row],[Date dernier contrôle]],36)),"NA")</f>
        <v>46023</v>
      </c>
      <c r="H108" s="26"/>
    </row>
    <row r="109" spans="1:8" x14ac:dyDescent="0.25">
      <c r="A109" s="3" t="s">
        <v>6</v>
      </c>
      <c r="B109" s="3" t="s">
        <v>29</v>
      </c>
      <c r="C109" s="3"/>
      <c r="D109" t="s">
        <v>28</v>
      </c>
      <c r="F109" s="2" t="str">
        <f>IF(Tableau1[[#This Row],[Présence amiante]]="oui",(EDATE(Tableau1[[#This Row],[Date dernier contrôle]],36)),"NA")</f>
        <v>NA</v>
      </c>
    </row>
    <row r="110" spans="1:8" x14ac:dyDescent="0.25">
      <c r="A110" s="3" t="s">
        <v>77</v>
      </c>
      <c r="B110" t="s">
        <v>98</v>
      </c>
      <c r="C110" s="3"/>
      <c r="D110" t="s">
        <v>39</v>
      </c>
      <c r="F110" s="2" t="str">
        <f>IF(Tableau1[[#This Row],[Présence amiante]]="oui",(EDATE(Tableau1[[#This Row],[Date dernier contrôle]],36)),"NA")</f>
        <v>NA</v>
      </c>
    </row>
  </sheetData>
  <phoneticPr fontId="1" type="noConversion"/>
  <conditionalFormatting sqref="F4:F110">
    <cfRule type="cellIs" dxfId="19" priority="9" operator="lessThan">
      <formula>TODAY()</formula>
    </cfRule>
  </conditionalFormatting>
  <conditionalFormatting sqref="D1:D63 D67:D69 D82:D1048576">
    <cfRule type="containsText" dxfId="18" priority="8" operator="containsText" text="A vérifier">
      <formula>NOT(ISERROR(SEARCH("A vérifier",D1)))</formula>
    </cfRule>
  </conditionalFormatting>
  <conditionalFormatting sqref="D4:D63 D67:D69 D82:D110">
    <cfRule type="containsText" dxfId="17" priority="7" operator="containsText" text="A diagnostiquer">
      <formula>NOT(ISERROR(SEARCH("A diagnostiquer",D4)))</formula>
    </cfRule>
  </conditionalFormatting>
  <conditionalFormatting sqref="D64:D66">
    <cfRule type="containsText" dxfId="16" priority="6" operator="containsText" text="A vérifier">
      <formula>NOT(ISERROR(SEARCH("A vérifier",D64)))</formula>
    </cfRule>
  </conditionalFormatting>
  <conditionalFormatting sqref="D64:D66">
    <cfRule type="containsText" dxfId="15" priority="5" operator="containsText" text="A diagnostiquer">
      <formula>NOT(ISERROR(SEARCH("A diagnostiquer",D64)))</formula>
    </cfRule>
  </conditionalFormatting>
  <conditionalFormatting sqref="D70">
    <cfRule type="containsText" dxfId="14" priority="4" operator="containsText" text="A vérifier">
      <formula>NOT(ISERROR(SEARCH("A vérifier",D70)))</formula>
    </cfRule>
  </conditionalFormatting>
  <conditionalFormatting sqref="D70">
    <cfRule type="containsText" dxfId="13" priority="3" operator="containsText" text="A diagnostiquer">
      <formula>NOT(ISERROR(SEARCH("A diagnostiquer",D70)))</formula>
    </cfRule>
  </conditionalFormatting>
  <conditionalFormatting sqref="D71:D81">
    <cfRule type="containsText" dxfId="12" priority="2" operator="containsText" text="A vérifier">
      <formula>NOT(ISERROR(SEARCH("A vérifier",D71)))</formula>
    </cfRule>
  </conditionalFormatting>
  <conditionalFormatting sqref="D71:D81">
    <cfRule type="containsText" dxfId="11" priority="1" operator="containsText" text="A diagnostiquer">
      <formula>NOT(ISERROR(SEARCH("A diagnostiquer",D71)))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B0B8-0192-4006-B121-B041461753B0}">
  <dimension ref="A2:F30"/>
  <sheetViews>
    <sheetView tabSelected="1" topLeftCell="A17" workbookViewId="0">
      <selection activeCell="A2" sqref="A2:F30"/>
    </sheetView>
  </sheetViews>
  <sheetFormatPr baseColWidth="10" defaultRowHeight="15" x14ac:dyDescent="0.25"/>
  <cols>
    <col min="1" max="1" width="17.7109375" customWidth="1"/>
    <col min="2" max="3" width="37.28515625" customWidth="1"/>
    <col min="4" max="4" width="48.85546875" customWidth="1"/>
    <col min="5" max="5" width="52.140625" customWidth="1"/>
  </cols>
  <sheetData>
    <row r="2" spans="1:6" x14ac:dyDescent="0.25">
      <c r="A2" s="11" t="s">
        <v>160</v>
      </c>
      <c r="B2" s="11" t="s">
        <v>2</v>
      </c>
      <c r="C2" s="15" t="s">
        <v>4</v>
      </c>
      <c r="D2" s="10" t="s">
        <v>161</v>
      </c>
      <c r="E2" s="10" t="s">
        <v>94</v>
      </c>
      <c r="F2" s="10" t="s">
        <v>178</v>
      </c>
    </row>
    <row r="3" spans="1:6" x14ac:dyDescent="0.25">
      <c r="A3" s="12" t="s">
        <v>65</v>
      </c>
      <c r="B3" s="13" t="s">
        <v>69</v>
      </c>
      <c r="C3" s="1">
        <v>35370</v>
      </c>
      <c r="D3" s="14" t="s">
        <v>180</v>
      </c>
      <c r="E3" s="10" t="s">
        <v>179</v>
      </c>
      <c r="F3" s="10" t="s">
        <v>34</v>
      </c>
    </row>
    <row r="4" spans="1:6" s="25" customFormat="1" x14ac:dyDescent="0.25">
      <c r="A4" s="23" t="s">
        <v>134</v>
      </c>
      <c r="B4" s="24" t="s">
        <v>119</v>
      </c>
      <c r="C4" s="18">
        <v>35612</v>
      </c>
      <c r="D4" s="19" t="s">
        <v>164</v>
      </c>
      <c r="E4" s="31" t="s">
        <v>190</v>
      </c>
      <c r="F4" s="19" t="s">
        <v>34</v>
      </c>
    </row>
    <row r="5" spans="1:6" x14ac:dyDescent="0.25">
      <c r="A5" s="12" t="s">
        <v>133</v>
      </c>
      <c r="B5" s="13" t="s">
        <v>102</v>
      </c>
      <c r="C5" s="16">
        <v>35827</v>
      </c>
      <c r="D5" s="10" t="s">
        <v>162</v>
      </c>
      <c r="E5" s="10"/>
      <c r="F5" s="10" t="s">
        <v>8</v>
      </c>
    </row>
    <row r="6" spans="1:6" ht="30" x14ac:dyDescent="0.25">
      <c r="A6" s="12" t="s">
        <v>133</v>
      </c>
      <c r="B6" s="13" t="s">
        <v>103</v>
      </c>
      <c r="C6" s="16">
        <v>35827</v>
      </c>
      <c r="D6" s="14" t="s">
        <v>185</v>
      </c>
      <c r="E6" s="10"/>
      <c r="F6" s="10" t="s">
        <v>8</v>
      </c>
    </row>
    <row r="7" spans="1:6" x14ac:dyDescent="0.25">
      <c r="A7" s="12" t="s">
        <v>133</v>
      </c>
      <c r="B7" s="13" t="s">
        <v>109</v>
      </c>
      <c r="C7" s="16">
        <v>35827</v>
      </c>
      <c r="D7" s="10" t="s">
        <v>163</v>
      </c>
      <c r="E7" s="10"/>
      <c r="F7" s="10" t="s">
        <v>8</v>
      </c>
    </row>
    <row r="8" spans="1:6" x14ac:dyDescent="0.25">
      <c r="A8" s="12" t="s">
        <v>133</v>
      </c>
      <c r="B8" s="13" t="s">
        <v>105</v>
      </c>
      <c r="C8" s="16">
        <v>35827</v>
      </c>
      <c r="D8" s="10" t="s">
        <v>165</v>
      </c>
      <c r="E8" s="10"/>
      <c r="F8" s="10" t="s">
        <v>8</v>
      </c>
    </row>
    <row r="9" spans="1:6" x14ac:dyDescent="0.25">
      <c r="A9" s="12" t="s">
        <v>133</v>
      </c>
      <c r="B9" s="13" t="s">
        <v>108</v>
      </c>
      <c r="C9" s="16">
        <v>35827</v>
      </c>
      <c r="D9" s="10" t="s">
        <v>167</v>
      </c>
      <c r="E9" s="10"/>
      <c r="F9" s="10" t="s">
        <v>8</v>
      </c>
    </row>
    <row r="10" spans="1:6" x14ac:dyDescent="0.25">
      <c r="A10" s="12" t="s">
        <v>133</v>
      </c>
      <c r="B10" s="13" t="s">
        <v>101</v>
      </c>
      <c r="C10" s="16">
        <v>35827</v>
      </c>
      <c r="D10" s="10" t="s">
        <v>166</v>
      </c>
      <c r="E10" s="10"/>
      <c r="F10" s="10" t="s">
        <v>8</v>
      </c>
    </row>
    <row r="11" spans="1:6" ht="31.5" x14ac:dyDescent="0.25">
      <c r="A11" s="12" t="s">
        <v>133</v>
      </c>
      <c r="B11" s="13" t="s">
        <v>177</v>
      </c>
      <c r="C11" s="16">
        <v>35827</v>
      </c>
      <c r="D11" s="17" t="s">
        <v>181</v>
      </c>
      <c r="E11" s="10"/>
      <c r="F11" s="10" t="s">
        <v>8</v>
      </c>
    </row>
    <row r="12" spans="1:6" x14ac:dyDescent="0.25">
      <c r="A12" s="12" t="s">
        <v>133</v>
      </c>
      <c r="B12" s="13" t="s">
        <v>110</v>
      </c>
      <c r="C12" s="16">
        <v>35855</v>
      </c>
      <c r="D12" s="10" t="s">
        <v>162</v>
      </c>
      <c r="E12" s="10"/>
      <c r="F12" s="10" t="s">
        <v>8</v>
      </c>
    </row>
    <row r="13" spans="1:6" ht="90" x14ac:dyDescent="0.25">
      <c r="A13" s="23" t="s">
        <v>6</v>
      </c>
      <c r="B13" s="24" t="s">
        <v>38</v>
      </c>
      <c r="C13" s="29">
        <v>39873</v>
      </c>
      <c r="D13" s="19" t="s">
        <v>184</v>
      </c>
      <c r="E13" s="30" t="s">
        <v>189</v>
      </c>
      <c r="F13" s="19" t="s">
        <v>34</v>
      </c>
    </row>
    <row r="14" spans="1:6" ht="30" x14ac:dyDescent="0.25">
      <c r="A14" s="12" t="s">
        <v>77</v>
      </c>
      <c r="B14" s="13" t="s">
        <v>183</v>
      </c>
      <c r="C14" s="1">
        <v>39965</v>
      </c>
      <c r="D14" s="14" t="s">
        <v>182</v>
      </c>
      <c r="E14" s="14"/>
      <c r="F14" s="10" t="s">
        <v>8</v>
      </c>
    </row>
    <row r="15" spans="1:6" ht="30" x14ac:dyDescent="0.25">
      <c r="A15" s="12" t="s">
        <v>77</v>
      </c>
      <c r="B15" s="13" t="s">
        <v>80</v>
      </c>
      <c r="C15" s="1">
        <v>39965</v>
      </c>
      <c r="D15" s="10" t="s">
        <v>169</v>
      </c>
      <c r="E15" s="10" t="s">
        <v>170</v>
      </c>
      <c r="F15" s="10" t="s">
        <v>8</v>
      </c>
    </row>
    <row r="16" spans="1:6" ht="30" x14ac:dyDescent="0.25">
      <c r="A16" s="12" t="s">
        <v>77</v>
      </c>
      <c r="B16" s="13" t="s">
        <v>83</v>
      </c>
      <c r="C16" s="1">
        <v>39965</v>
      </c>
      <c r="D16" s="10" t="s">
        <v>171</v>
      </c>
      <c r="E16" s="10"/>
      <c r="F16" s="10" t="s">
        <v>8</v>
      </c>
    </row>
    <row r="17" spans="1:6" ht="30" x14ac:dyDescent="0.25">
      <c r="A17" s="12" t="s">
        <v>77</v>
      </c>
      <c r="B17" s="13" t="s">
        <v>81</v>
      </c>
      <c r="C17" s="1">
        <v>39965</v>
      </c>
      <c r="D17" s="10" t="s">
        <v>172</v>
      </c>
      <c r="E17" s="10"/>
      <c r="F17" s="10" t="s">
        <v>8</v>
      </c>
    </row>
    <row r="18" spans="1:6" ht="30" x14ac:dyDescent="0.25">
      <c r="A18" s="12" t="s">
        <v>77</v>
      </c>
      <c r="B18" s="13" t="s">
        <v>82</v>
      </c>
      <c r="C18" s="1">
        <v>39965</v>
      </c>
      <c r="D18" s="10" t="s">
        <v>173</v>
      </c>
      <c r="E18" s="10"/>
      <c r="F18" s="10" t="s">
        <v>8</v>
      </c>
    </row>
    <row r="19" spans="1:6" ht="30" x14ac:dyDescent="0.25">
      <c r="A19" s="12" t="s">
        <v>77</v>
      </c>
      <c r="B19" s="13" t="s">
        <v>84</v>
      </c>
      <c r="C19" s="1">
        <v>39965</v>
      </c>
      <c r="D19" s="10" t="s">
        <v>174</v>
      </c>
      <c r="E19" s="10"/>
      <c r="F19" s="10" t="s">
        <v>8</v>
      </c>
    </row>
    <row r="20" spans="1:6" ht="30" x14ac:dyDescent="0.25">
      <c r="A20" s="12" t="s">
        <v>77</v>
      </c>
      <c r="B20" s="13" t="s">
        <v>85</v>
      </c>
      <c r="C20" s="1">
        <v>39965</v>
      </c>
      <c r="D20" s="10" t="s">
        <v>172</v>
      </c>
      <c r="E20" s="10"/>
      <c r="F20" s="10" t="s">
        <v>8</v>
      </c>
    </row>
    <row r="21" spans="1:6" ht="30" x14ac:dyDescent="0.25">
      <c r="A21" s="12" t="s">
        <v>77</v>
      </c>
      <c r="B21" s="13" t="s">
        <v>86</v>
      </c>
      <c r="C21" s="1">
        <v>39965</v>
      </c>
      <c r="D21" s="10" t="s">
        <v>175</v>
      </c>
      <c r="E21" s="10"/>
      <c r="F21" s="10" t="s">
        <v>8</v>
      </c>
    </row>
    <row r="22" spans="1:6" ht="30" x14ac:dyDescent="0.25">
      <c r="A22" s="12" t="s">
        <v>77</v>
      </c>
      <c r="B22" s="13" t="s">
        <v>87</v>
      </c>
      <c r="C22" s="1">
        <v>39965</v>
      </c>
      <c r="D22" s="10" t="s">
        <v>176</v>
      </c>
      <c r="E22" s="10"/>
      <c r="F22" s="10" t="s">
        <v>8</v>
      </c>
    </row>
    <row r="23" spans="1:6" ht="30" x14ac:dyDescent="0.25">
      <c r="A23" s="12" t="s">
        <v>77</v>
      </c>
      <c r="B23" s="13" t="s">
        <v>88</v>
      </c>
      <c r="C23" s="1">
        <v>39965</v>
      </c>
      <c r="D23" s="10" t="s">
        <v>174</v>
      </c>
      <c r="E23" s="10"/>
      <c r="F23" s="10" t="s">
        <v>8</v>
      </c>
    </row>
    <row r="24" spans="1:6" ht="30" x14ac:dyDescent="0.25">
      <c r="A24" s="12" t="s">
        <v>77</v>
      </c>
      <c r="B24" s="13" t="s">
        <v>89</v>
      </c>
      <c r="C24" s="1">
        <v>39965</v>
      </c>
      <c r="D24" s="10" t="s">
        <v>174</v>
      </c>
      <c r="E24" s="10"/>
      <c r="F24" s="10" t="s">
        <v>8</v>
      </c>
    </row>
    <row r="25" spans="1:6" ht="30" x14ac:dyDescent="0.25">
      <c r="A25" s="12" t="s">
        <v>77</v>
      </c>
      <c r="B25" s="13" t="s">
        <v>90</v>
      </c>
      <c r="C25" s="1">
        <v>39965</v>
      </c>
      <c r="D25" s="10" t="s">
        <v>174</v>
      </c>
      <c r="E25" s="10"/>
      <c r="F25" s="10" t="s">
        <v>8</v>
      </c>
    </row>
    <row r="26" spans="1:6" ht="30" x14ac:dyDescent="0.25">
      <c r="A26" s="12" t="s">
        <v>77</v>
      </c>
      <c r="B26" s="13" t="s">
        <v>91</v>
      </c>
      <c r="C26" s="1">
        <v>39965</v>
      </c>
      <c r="D26" s="10" t="s">
        <v>174</v>
      </c>
      <c r="E26" s="10"/>
      <c r="F26" s="10" t="s">
        <v>8</v>
      </c>
    </row>
    <row r="27" spans="1:6" ht="30" x14ac:dyDescent="0.25">
      <c r="A27" s="12" t="s">
        <v>77</v>
      </c>
      <c r="B27" s="13" t="s">
        <v>92</v>
      </c>
      <c r="C27" s="1">
        <v>39965</v>
      </c>
      <c r="D27" s="10" t="s">
        <v>174</v>
      </c>
      <c r="E27" s="10"/>
      <c r="F27" s="10" t="s">
        <v>8</v>
      </c>
    </row>
    <row r="28" spans="1:6" ht="30" x14ac:dyDescent="0.25">
      <c r="A28" s="12" t="s">
        <v>77</v>
      </c>
      <c r="B28" s="13" t="s">
        <v>71</v>
      </c>
      <c r="C28" s="1">
        <v>43313</v>
      </c>
      <c r="D28" s="10" t="s">
        <v>168</v>
      </c>
      <c r="E28" s="10"/>
      <c r="F28" s="10" t="s">
        <v>8</v>
      </c>
    </row>
    <row r="29" spans="1:6" ht="45" x14ac:dyDescent="0.25">
      <c r="A29" s="23" t="s">
        <v>6</v>
      </c>
      <c r="B29" s="24" t="s">
        <v>30</v>
      </c>
      <c r="C29" s="29">
        <v>44136</v>
      </c>
      <c r="D29" s="19" t="s">
        <v>168</v>
      </c>
      <c r="E29" s="30" t="s">
        <v>188</v>
      </c>
      <c r="F29" s="19" t="s">
        <v>34</v>
      </c>
    </row>
    <row r="30" spans="1:6" ht="90" x14ac:dyDescent="0.25">
      <c r="A30" s="23" t="s">
        <v>77</v>
      </c>
      <c r="B30" s="27" t="s">
        <v>96</v>
      </c>
      <c r="C30" s="28">
        <v>2021</v>
      </c>
      <c r="D30" s="19" t="s">
        <v>168</v>
      </c>
      <c r="E30" s="30" t="s">
        <v>187</v>
      </c>
      <c r="F30" s="19" t="s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AMABILE Tim</dc:creator>
  <cp:lastModifiedBy>AMABILE Tim</cp:lastModifiedBy>
  <dcterms:created xsi:type="dcterms:W3CDTF">2026-05-19T07:17:36Z</dcterms:created>
  <dcterms:modified xsi:type="dcterms:W3CDTF">2026-07-01T07:12:52Z</dcterms:modified>
</cp:coreProperties>
</file>